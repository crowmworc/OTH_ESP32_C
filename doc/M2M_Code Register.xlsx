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oc\1.Projects\ESP\표준모델\03_설계문서\"/>
    </mc:Choice>
  </mc:AlternateContent>
  <xr:revisionPtr revIDLastSave="0" documentId="13_ncr:1_{CDE4C70E-1717-4B7C-97EB-7B51E9F1F091}" xr6:coauthVersionLast="47" xr6:coauthVersionMax="47" xr10:uidLastSave="{00000000-0000-0000-0000-000000000000}"/>
  <bookViews>
    <workbookView xWindow="6540" yWindow="960" windowWidth="32475" windowHeight="18885" xr2:uid="{00000000-000D-0000-FFFF-FFFF00000000}"/>
  </bookViews>
  <sheets>
    <sheet name="보드코드" sheetId="1" r:id="rId1"/>
    <sheet name="작성규칙" sheetId="2" r:id="rId2"/>
    <sheet name="코드목록" sheetId="3" r:id="rId3"/>
    <sheet name="벤더코드" sheetId="4" r:id="rId4"/>
    <sheet name="칩코드" sheetId="5" r:id="rId5"/>
    <sheet name="명령체계코드" sheetId="6" r:id="rId6"/>
    <sheet name="고객코드" sheetId="7" r:id="rId7"/>
    <sheet name="변경이력" sheetId="8" r:id="rId8"/>
  </sheets>
  <definedNames>
    <definedName name="_xlnm._FilterDatabase" localSheetId="6" hidden="1">고객코드!$A$4:$H$200</definedName>
    <definedName name="_xlnm._FilterDatabase" localSheetId="5" hidden="1">명령체계코드!$A$4:$I$40</definedName>
    <definedName name="_xlnm._FilterDatabase" localSheetId="3" hidden="1">벤더코드!$A$4:$F$40</definedName>
    <definedName name="_xlnm._FilterDatabase" localSheetId="0" hidden="1">보드코드!$A$4:$U$200</definedName>
    <definedName name="_xlnm._FilterDatabase" localSheetId="4" hidden="1">칩코드!$A$4:$J$60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0" i="7" l="1"/>
  <c r="B200" i="7"/>
  <c r="H199" i="7"/>
  <c r="B199" i="7"/>
  <c r="H198" i="7"/>
  <c r="B198" i="7"/>
  <c r="H197" i="7"/>
  <c r="B197" i="7"/>
  <c r="H196" i="7"/>
  <c r="B196" i="7"/>
  <c r="H195" i="7"/>
  <c r="B195" i="7"/>
  <c r="H194" i="7"/>
  <c r="B194" i="7"/>
  <c r="H193" i="7"/>
  <c r="B193" i="7"/>
  <c r="H192" i="7"/>
  <c r="B192" i="7"/>
  <c r="H191" i="7"/>
  <c r="B191" i="7"/>
  <c r="H190" i="7"/>
  <c r="B190" i="7"/>
  <c r="H189" i="7"/>
  <c r="B189" i="7"/>
  <c r="H188" i="7"/>
  <c r="B188" i="7"/>
  <c r="H187" i="7"/>
  <c r="B187" i="7"/>
  <c r="H186" i="7"/>
  <c r="B186" i="7"/>
  <c r="H185" i="7"/>
  <c r="B185" i="7"/>
  <c r="H184" i="7"/>
  <c r="B184" i="7"/>
  <c r="H183" i="7"/>
  <c r="B183" i="7"/>
  <c r="H182" i="7"/>
  <c r="B182" i="7"/>
  <c r="H181" i="7"/>
  <c r="B181" i="7"/>
  <c r="H180" i="7"/>
  <c r="B180" i="7"/>
  <c r="H179" i="7"/>
  <c r="B179" i="7"/>
  <c r="H178" i="7"/>
  <c r="B178" i="7"/>
  <c r="H177" i="7"/>
  <c r="B177" i="7"/>
  <c r="H176" i="7"/>
  <c r="B176" i="7"/>
  <c r="H175" i="7"/>
  <c r="B175" i="7"/>
  <c r="H174" i="7"/>
  <c r="B174" i="7"/>
  <c r="H173" i="7"/>
  <c r="B173" i="7"/>
  <c r="H172" i="7"/>
  <c r="B172" i="7"/>
  <c r="H171" i="7"/>
  <c r="B171" i="7"/>
  <c r="H170" i="7"/>
  <c r="B170" i="7"/>
  <c r="H169" i="7"/>
  <c r="B169" i="7"/>
  <c r="H168" i="7"/>
  <c r="B168" i="7"/>
  <c r="H167" i="7"/>
  <c r="B167" i="7"/>
  <c r="H166" i="7"/>
  <c r="B166" i="7"/>
  <c r="H165" i="7"/>
  <c r="B165" i="7"/>
  <c r="H164" i="7"/>
  <c r="B164" i="7"/>
  <c r="H163" i="7"/>
  <c r="B163" i="7"/>
  <c r="H162" i="7"/>
  <c r="B162" i="7"/>
  <c r="H161" i="7"/>
  <c r="B161" i="7"/>
  <c r="H160" i="7"/>
  <c r="B160" i="7"/>
  <c r="H159" i="7"/>
  <c r="B159" i="7"/>
  <c r="H158" i="7"/>
  <c r="B158" i="7"/>
  <c r="H157" i="7"/>
  <c r="B157" i="7"/>
  <c r="H156" i="7"/>
  <c r="B156" i="7"/>
  <c r="H155" i="7"/>
  <c r="B155" i="7"/>
  <c r="H154" i="7"/>
  <c r="B154" i="7"/>
  <c r="H153" i="7"/>
  <c r="B153" i="7"/>
  <c r="H152" i="7"/>
  <c r="B152" i="7"/>
  <c r="H151" i="7"/>
  <c r="B151" i="7"/>
  <c r="H150" i="7"/>
  <c r="B150" i="7"/>
  <c r="H149" i="7"/>
  <c r="B149" i="7"/>
  <c r="H148" i="7"/>
  <c r="B148" i="7"/>
  <c r="H147" i="7"/>
  <c r="B147" i="7"/>
  <c r="H146" i="7"/>
  <c r="B146" i="7"/>
  <c r="H145" i="7"/>
  <c r="B145" i="7"/>
  <c r="H144" i="7"/>
  <c r="B144" i="7"/>
  <c r="H143" i="7"/>
  <c r="B143" i="7"/>
  <c r="H142" i="7"/>
  <c r="B142" i="7"/>
  <c r="H141" i="7"/>
  <c r="B141" i="7"/>
  <c r="H140" i="7"/>
  <c r="B140" i="7"/>
  <c r="H139" i="7"/>
  <c r="B139" i="7"/>
  <c r="H138" i="7"/>
  <c r="B138" i="7"/>
  <c r="H137" i="7"/>
  <c r="B137" i="7"/>
  <c r="H136" i="7"/>
  <c r="B136" i="7"/>
  <c r="H135" i="7"/>
  <c r="B135" i="7"/>
  <c r="H134" i="7"/>
  <c r="B134" i="7"/>
  <c r="H133" i="7"/>
  <c r="B133" i="7"/>
  <c r="H132" i="7"/>
  <c r="B132" i="7"/>
  <c r="H131" i="7"/>
  <c r="B131" i="7"/>
  <c r="H130" i="7"/>
  <c r="B130" i="7"/>
  <c r="H129" i="7"/>
  <c r="B129" i="7"/>
  <c r="H128" i="7"/>
  <c r="B128" i="7"/>
  <c r="H127" i="7"/>
  <c r="B127" i="7"/>
  <c r="H126" i="7"/>
  <c r="B126" i="7"/>
  <c r="H125" i="7"/>
  <c r="B125" i="7"/>
  <c r="H124" i="7"/>
  <c r="B124" i="7"/>
  <c r="H123" i="7"/>
  <c r="B123" i="7"/>
  <c r="H122" i="7"/>
  <c r="B122" i="7"/>
  <c r="H121" i="7"/>
  <c r="B121" i="7"/>
  <c r="H120" i="7"/>
  <c r="B120" i="7"/>
  <c r="H119" i="7"/>
  <c r="B119" i="7"/>
  <c r="H118" i="7"/>
  <c r="B118" i="7"/>
  <c r="H117" i="7"/>
  <c r="B117" i="7"/>
  <c r="H116" i="7"/>
  <c r="B116" i="7"/>
  <c r="H115" i="7"/>
  <c r="B115" i="7"/>
  <c r="H114" i="7"/>
  <c r="B114" i="7"/>
  <c r="H113" i="7"/>
  <c r="B113" i="7"/>
  <c r="H112" i="7"/>
  <c r="B112" i="7"/>
  <c r="H111" i="7"/>
  <c r="B111" i="7"/>
  <c r="H110" i="7"/>
  <c r="B110" i="7"/>
  <c r="H109" i="7"/>
  <c r="B109" i="7"/>
  <c r="H108" i="7"/>
  <c r="B108" i="7"/>
  <c r="H107" i="7"/>
  <c r="B107" i="7"/>
  <c r="H106" i="7"/>
  <c r="B106" i="7"/>
  <c r="H105" i="7"/>
  <c r="B105" i="7"/>
  <c r="H104" i="7"/>
  <c r="B104" i="7"/>
  <c r="H103" i="7"/>
  <c r="B103" i="7"/>
  <c r="H102" i="7"/>
  <c r="B102" i="7"/>
  <c r="H101" i="7"/>
  <c r="B101" i="7"/>
  <c r="H100" i="7"/>
  <c r="B100" i="7"/>
  <c r="H99" i="7"/>
  <c r="B99" i="7"/>
  <c r="H98" i="7"/>
  <c r="B98" i="7"/>
  <c r="H97" i="7"/>
  <c r="B97" i="7"/>
  <c r="H96" i="7"/>
  <c r="B96" i="7"/>
  <c r="H95" i="7"/>
  <c r="B95" i="7"/>
  <c r="H94" i="7"/>
  <c r="B94" i="7"/>
  <c r="H93" i="7"/>
  <c r="B93" i="7"/>
  <c r="H92" i="7"/>
  <c r="B92" i="7"/>
  <c r="H91" i="7"/>
  <c r="B91" i="7"/>
  <c r="H90" i="7"/>
  <c r="B90" i="7"/>
  <c r="H89" i="7"/>
  <c r="B89" i="7"/>
  <c r="H88" i="7"/>
  <c r="B88" i="7"/>
  <c r="H87" i="7"/>
  <c r="B87" i="7"/>
  <c r="H86" i="7"/>
  <c r="B86" i="7"/>
  <c r="H85" i="7"/>
  <c r="B85" i="7"/>
  <c r="H84" i="7"/>
  <c r="B84" i="7"/>
  <c r="H83" i="7"/>
  <c r="B83" i="7"/>
  <c r="H82" i="7"/>
  <c r="B82" i="7"/>
  <c r="H81" i="7"/>
  <c r="B81" i="7"/>
  <c r="H80" i="7"/>
  <c r="B80" i="7"/>
  <c r="H79" i="7"/>
  <c r="B79" i="7"/>
  <c r="H78" i="7"/>
  <c r="B78" i="7"/>
  <c r="H77" i="7"/>
  <c r="B77" i="7"/>
  <c r="H76" i="7"/>
  <c r="B76" i="7"/>
  <c r="H75" i="7"/>
  <c r="B75" i="7"/>
  <c r="H74" i="7"/>
  <c r="B74" i="7"/>
  <c r="H73" i="7"/>
  <c r="B73" i="7"/>
  <c r="H72" i="7"/>
  <c r="B72" i="7"/>
  <c r="H71" i="7"/>
  <c r="B71" i="7"/>
  <c r="H70" i="7"/>
  <c r="B70" i="7"/>
  <c r="H69" i="7"/>
  <c r="B69" i="7"/>
  <c r="H68" i="7"/>
  <c r="B68" i="7"/>
  <c r="H67" i="7"/>
  <c r="B67" i="7"/>
  <c r="H66" i="7"/>
  <c r="B66" i="7"/>
  <c r="H65" i="7"/>
  <c r="B65" i="7"/>
  <c r="H64" i="7"/>
  <c r="B64" i="7"/>
  <c r="H63" i="7"/>
  <c r="B63" i="7"/>
  <c r="H62" i="7"/>
  <c r="B62" i="7"/>
  <c r="H61" i="7"/>
  <c r="B61" i="7"/>
  <c r="H60" i="7"/>
  <c r="B60" i="7"/>
  <c r="H59" i="7"/>
  <c r="B59" i="7"/>
  <c r="H58" i="7"/>
  <c r="B58" i="7"/>
  <c r="H57" i="7"/>
  <c r="B57" i="7"/>
  <c r="H56" i="7"/>
  <c r="B56" i="7"/>
  <c r="H55" i="7"/>
  <c r="B55" i="7"/>
  <c r="H54" i="7"/>
  <c r="B54" i="7"/>
  <c r="H53" i="7"/>
  <c r="B53" i="7"/>
  <c r="H52" i="7"/>
  <c r="B52" i="7"/>
  <c r="H51" i="7"/>
  <c r="B51" i="7"/>
  <c r="H50" i="7"/>
  <c r="B50" i="7"/>
  <c r="H49" i="7"/>
  <c r="B49" i="7"/>
  <c r="H48" i="7"/>
  <c r="B48" i="7"/>
  <c r="H47" i="7"/>
  <c r="B47" i="7"/>
  <c r="H46" i="7"/>
  <c r="B46" i="7"/>
  <c r="H45" i="7"/>
  <c r="B45" i="7"/>
  <c r="H44" i="7"/>
  <c r="B44" i="7"/>
  <c r="H43" i="7"/>
  <c r="B43" i="7"/>
  <c r="H42" i="7"/>
  <c r="B42" i="7"/>
  <c r="H41" i="7"/>
  <c r="B41" i="7"/>
  <c r="H40" i="7"/>
  <c r="B40" i="7"/>
  <c r="H39" i="7"/>
  <c r="B39" i="7"/>
  <c r="H38" i="7"/>
  <c r="B38" i="7"/>
  <c r="H37" i="7"/>
  <c r="B37" i="7"/>
  <c r="H36" i="7"/>
  <c r="B36" i="7"/>
  <c r="H35" i="7"/>
  <c r="B35" i="7"/>
  <c r="H34" i="7"/>
  <c r="B34" i="7"/>
  <c r="H33" i="7"/>
  <c r="B33" i="7"/>
  <c r="H32" i="7"/>
  <c r="B32" i="7"/>
  <c r="H31" i="7"/>
  <c r="B31" i="7"/>
  <c r="H30" i="7"/>
  <c r="B30" i="7"/>
  <c r="H29" i="7"/>
  <c r="B29" i="7"/>
  <c r="H28" i="7"/>
  <c r="B28" i="7"/>
  <c r="H27" i="7"/>
  <c r="B27" i="7"/>
  <c r="H26" i="7"/>
  <c r="B26" i="7"/>
  <c r="H25" i="7"/>
  <c r="B25" i="7"/>
  <c r="H24" i="7"/>
  <c r="B24" i="7"/>
  <c r="H23" i="7"/>
  <c r="B23" i="7"/>
  <c r="H22" i="7"/>
  <c r="B22" i="7"/>
  <c r="H21" i="7"/>
  <c r="B21" i="7"/>
  <c r="H20" i="7"/>
  <c r="B20" i="7"/>
  <c r="H19" i="7"/>
  <c r="B19" i="7"/>
  <c r="H18" i="7"/>
  <c r="B18" i="7"/>
  <c r="H17" i="7"/>
  <c r="B17" i="7"/>
  <c r="H16" i="7"/>
  <c r="B16" i="7"/>
  <c r="H15" i="7"/>
  <c r="B15" i="7"/>
  <c r="H14" i="7"/>
  <c r="B14" i="7"/>
  <c r="H13" i="7"/>
  <c r="B13" i="7"/>
  <c r="H12" i="7"/>
  <c r="B12" i="7"/>
  <c r="H11" i="7"/>
  <c r="B11" i="7"/>
  <c r="H10" i="7"/>
  <c r="B10" i="7"/>
  <c r="H9" i="7"/>
  <c r="B9" i="7"/>
  <c r="H8" i="7"/>
  <c r="B8" i="7"/>
  <c r="H7" i="7"/>
  <c r="B7" i="7"/>
  <c r="H6" i="7"/>
  <c r="B6" i="7"/>
  <c r="H5" i="7"/>
  <c r="B5" i="7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J60" i="5"/>
  <c r="B60" i="5"/>
  <c r="J59" i="5"/>
  <c r="B59" i="5"/>
  <c r="J58" i="5"/>
  <c r="B58" i="5"/>
  <c r="J57" i="5"/>
  <c r="B57" i="5"/>
  <c r="J56" i="5"/>
  <c r="B56" i="5"/>
  <c r="J55" i="5"/>
  <c r="B55" i="5"/>
  <c r="J54" i="5"/>
  <c r="B54" i="5"/>
  <c r="J53" i="5"/>
  <c r="B53" i="5"/>
  <c r="J52" i="5"/>
  <c r="B52" i="5"/>
  <c r="J51" i="5"/>
  <c r="B51" i="5"/>
  <c r="J50" i="5"/>
  <c r="B50" i="5"/>
  <c r="J49" i="5"/>
  <c r="B49" i="5"/>
  <c r="J48" i="5"/>
  <c r="B48" i="5"/>
  <c r="J47" i="5"/>
  <c r="B47" i="5"/>
  <c r="J46" i="5"/>
  <c r="B46" i="5"/>
  <c r="J45" i="5"/>
  <c r="B45" i="5"/>
  <c r="J44" i="5"/>
  <c r="B44" i="5"/>
  <c r="J43" i="5"/>
  <c r="B43" i="5"/>
  <c r="J42" i="5"/>
  <c r="B42" i="5"/>
  <c r="J41" i="5"/>
  <c r="B41" i="5"/>
  <c r="J40" i="5"/>
  <c r="B40" i="5"/>
  <c r="J39" i="5"/>
  <c r="B39" i="5"/>
  <c r="J38" i="5"/>
  <c r="B38" i="5"/>
  <c r="J37" i="5"/>
  <c r="B37" i="5"/>
  <c r="J36" i="5"/>
  <c r="B36" i="5"/>
  <c r="J35" i="5"/>
  <c r="B35" i="5"/>
  <c r="J34" i="5"/>
  <c r="B34" i="5"/>
  <c r="J33" i="5"/>
  <c r="B33" i="5"/>
  <c r="J32" i="5"/>
  <c r="B32" i="5"/>
  <c r="J31" i="5"/>
  <c r="B31" i="5"/>
  <c r="J30" i="5"/>
  <c r="B30" i="5"/>
  <c r="J29" i="5"/>
  <c r="B29" i="5"/>
  <c r="J28" i="5"/>
  <c r="B28" i="5"/>
  <c r="J27" i="5"/>
  <c r="B27" i="5"/>
  <c r="J26" i="5"/>
  <c r="B26" i="5"/>
  <c r="J25" i="5"/>
  <c r="B25" i="5"/>
  <c r="J24" i="5"/>
  <c r="B24" i="5"/>
  <c r="J23" i="5"/>
  <c r="B23" i="5"/>
  <c r="J22" i="5"/>
  <c r="B22" i="5"/>
  <c r="J21" i="5"/>
  <c r="B21" i="5"/>
  <c r="J20" i="5"/>
  <c r="B20" i="5"/>
  <c r="J19" i="5"/>
  <c r="B19" i="5"/>
  <c r="J18" i="5"/>
  <c r="B18" i="5"/>
  <c r="J17" i="5"/>
  <c r="B17" i="5"/>
  <c r="J16" i="5"/>
  <c r="B16" i="5"/>
  <c r="J15" i="5"/>
  <c r="B15" i="5"/>
  <c r="J14" i="5"/>
  <c r="B14" i="5"/>
  <c r="J13" i="5"/>
  <c r="B13" i="5"/>
  <c r="J12" i="5"/>
  <c r="B12" i="5"/>
  <c r="J11" i="5"/>
  <c r="B11" i="5"/>
  <c r="J10" i="5"/>
  <c r="B10" i="5"/>
  <c r="J9" i="5"/>
  <c r="B9" i="5"/>
  <c r="J8" i="5"/>
  <c r="B8" i="5"/>
  <c r="J7" i="5"/>
  <c r="B7" i="5"/>
  <c r="J6" i="5"/>
  <c r="B6" i="5"/>
  <c r="J5" i="5"/>
  <c r="B5" i="5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U200" i="1"/>
  <c r="T200" i="1"/>
  <c r="R200" i="1"/>
  <c r="S200" i="1" s="1"/>
  <c r="F200" i="1"/>
  <c r="C200" i="1"/>
  <c r="A200" i="1"/>
  <c r="U199" i="1"/>
  <c r="T199" i="1"/>
  <c r="R199" i="1"/>
  <c r="S199" i="1" s="1"/>
  <c r="F199" i="1"/>
  <c r="C199" i="1"/>
  <c r="A199" i="1"/>
  <c r="U198" i="1"/>
  <c r="T198" i="1"/>
  <c r="R198" i="1"/>
  <c r="S198" i="1" s="1"/>
  <c r="F198" i="1"/>
  <c r="C198" i="1"/>
  <c r="A198" i="1"/>
  <c r="U197" i="1"/>
  <c r="T197" i="1"/>
  <c r="R197" i="1"/>
  <c r="S197" i="1" s="1"/>
  <c r="F197" i="1"/>
  <c r="C197" i="1"/>
  <c r="A197" i="1"/>
  <c r="U196" i="1"/>
  <c r="T196" i="1"/>
  <c r="R196" i="1"/>
  <c r="S196" i="1" s="1"/>
  <c r="F196" i="1"/>
  <c r="C196" i="1"/>
  <c r="A196" i="1"/>
  <c r="U195" i="1"/>
  <c r="T195" i="1"/>
  <c r="R195" i="1"/>
  <c r="S195" i="1" s="1"/>
  <c r="F195" i="1"/>
  <c r="C195" i="1"/>
  <c r="A195" i="1"/>
  <c r="U194" i="1"/>
  <c r="T194" i="1"/>
  <c r="R194" i="1"/>
  <c r="S194" i="1" s="1"/>
  <c r="F194" i="1"/>
  <c r="C194" i="1"/>
  <c r="A194" i="1"/>
  <c r="U193" i="1"/>
  <c r="T193" i="1"/>
  <c r="R193" i="1"/>
  <c r="S193" i="1" s="1"/>
  <c r="F193" i="1"/>
  <c r="C193" i="1"/>
  <c r="A193" i="1"/>
  <c r="U192" i="1"/>
  <c r="T192" i="1"/>
  <c r="R192" i="1"/>
  <c r="S192" i="1" s="1"/>
  <c r="F192" i="1"/>
  <c r="C192" i="1"/>
  <c r="A192" i="1"/>
  <c r="U191" i="1"/>
  <c r="T191" i="1"/>
  <c r="R191" i="1"/>
  <c r="S191" i="1" s="1"/>
  <c r="F191" i="1"/>
  <c r="C191" i="1"/>
  <c r="A191" i="1"/>
  <c r="U190" i="1"/>
  <c r="T190" i="1"/>
  <c r="R190" i="1"/>
  <c r="S190" i="1" s="1"/>
  <c r="F190" i="1"/>
  <c r="C190" i="1"/>
  <c r="A190" i="1"/>
  <c r="U189" i="1"/>
  <c r="T189" i="1"/>
  <c r="R189" i="1"/>
  <c r="S189" i="1" s="1"/>
  <c r="F189" i="1"/>
  <c r="C189" i="1"/>
  <c r="A189" i="1"/>
  <c r="U188" i="1"/>
  <c r="T188" i="1"/>
  <c r="R188" i="1"/>
  <c r="S188" i="1" s="1"/>
  <c r="F188" i="1"/>
  <c r="C188" i="1"/>
  <c r="A188" i="1"/>
  <c r="U187" i="1"/>
  <c r="T187" i="1"/>
  <c r="R187" i="1"/>
  <c r="S187" i="1" s="1"/>
  <c r="F187" i="1"/>
  <c r="C187" i="1"/>
  <c r="A187" i="1"/>
  <c r="U186" i="1"/>
  <c r="T186" i="1"/>
  <c r="R186" i="1"/>
  <c r="S186" i="1" s="1"/>
  <c r="F186" i="1"/>
  <c r="C186" i="1"/>
  <c r="A186" i="1"/>
  <c r="U185" i="1"/>
  <c r="T185" i="1"/>
  <c r="R185" i="1"/>
  <c r="S185" i="1" s="1"/>
  <c r="F185" i="1"/>
  <c r="C185" i="1"/>
  <c r="A185" i="1"/>
  <c r="U184" i="1"/>
  <c r="T184" i="1"/>
  <c r="R184" i="1"/>
  <c r="S184" i="1" s="1"/>
  <c r="F184" i="1"/>
  <c r="C184" i="1"/>
  <c r="A184" i="1"/>
  <c r="U183" i="1"/>
  <c r="T183" i="1"/>
  <c r="R183" i="1"/>
  <c r="S183" i="1" s="1"/>
  <c r="F183" i="1"/>
  <c r="C183" i="1"/>
  <c r="A183" i="1"/>
  <c r="U182" i="1"/>
  <c r="T182" i="1"/>
  <c r="R182" i="1"/>
  <c r="S182" i="1" s="1"/>
  <c r="F182" i="1"/>
  <c r="C182" i="1"/>
  <c r="A182" i="1"/>
  <c r="U181" i="1"/>
  <c r="T181" i="1"/>
  <c r="R181" i="1"/>
  <c r="S181" i="1" s="1"/>
  <c r="F181" i="1"/>
  <c r="C181" i="1"/>
  <c r="A181" i="1"/>
  <c r="U180" i="1"/>
  <c r="T180" i="1"/>
  <c r="R180" i="1"/>
  <c r="S180" i="1" s="1"/>
  <c r="F180" i="1"/>
  <c r="C180" i="1"/>
  <c r="A180" i="1"/>
  <c r="U179" i="1"/>
  <c r="T179" i="1"/>
  <c r="R179" i="1"/>
  <c r="S179" i="1" s="1"/>
  <c r="F179" i="1"/>
  <c r="C179" i="1"/>
  <c r="A179" i="1"/>
  <c r="U178" i="1"/>
  <c r="T178" i="1"/>
  <c r="R178" i="1"/>
  <c r="S178" i="1" s="1"/>
  <c r="F178" i="1"/>
  <c r="C178" i="1"/>
  <c r="A178" i="1"/>
  <c r="U177" i="1"/>
  <c r="T177" i="1"/>
  <c r="R177" i="1"/>
  <c r="S177" i="1" s="1"/>
  <c r="F177" i="1"/>
  <c r="C177" i="1"/>
  <c r="A177" i="1"/>
  <c r="U176" i="1"/>
  <c r="T176" i="1"/>
  <c r="R176" i="1"/>
  <c r="S176" i="1" s="1"/>
  <c r="F176" i="1"/>
  <c r="C176" i="1"/>
  <c r="A176" i="1"/>
  <c r="U175" i="1"/>
  <c r="T175" i="1"/>
  <c r="R175" i="1"/>
  <c r="S175" i="1" s="1"/>
  <c r="F175" i="1"/>
  <c r="C175" i="1"/>
  <c r="A175" i="1"/>
  <c r="U174" i="1"/>
  <c r="T174" i="1"/>
  <c r="R174" i="1"/>
  <c r="S174" i="1" s="1"/>
  <c r="F174" i="1"/>
  <c r="C174" i="1"/>
  <c r="A174" i="1"/>
  <c r="U173" i="1"/>
  <c r="T173" i="1"/>
  <c r="R173" i="1"/>
  <c r="S173" i="1" s="1"/>
  <c r="F173" i="1"/>
  <c r="C173" i="1"/>
  <c r="A173" i="1"/>
  <c r="U172" i="1"/>
  <c r="T172" i="1"/>
  <c r="R172" i="1"/>
  <c r="S172" i="1" s="1"/>
  <c r="F172" i="1"/>
  <c r="C172" i="1"/>
  <c r="A172" i="1"/>
  <c r="U171" i="1"/>
  <c r="T171" i="1"/>
  <c r="R171" i="1"/>
  <c r="S171" i="1" s="1"/>
  <c r="F171" i="1"/>
  <c r="C171" i="1"/>
  <c r="A171" i="1"/>
  <c r="U170" i="1"/>
  <c r="T170" i="1"/>
  <c r="R170" i="1"/>
  <c r="S170" i="1" s="1"/>
  <c r="F170" i="1"/>
  <c r="C170" i="1"/>
  <c r="A170" i="1"/>
  <c r="U169" i="1"/>
  <c r="T169" i="1"/>
  <c r="R169" i="1"/>
  <c r="S169" i="1" s="1"/>
  <c r="F169" i="1"/>
  <c r="C169" i="1"/>
  <c r="A169" i="1"/>
  <c r="U168" i="1"/>
  <c r="T168" i="1"/>
  <c r="R168" i="1"/>
  <c r="S168" i="1" s="1"/>
  <c r="F168" i="1"/>
  <c r="C168" i="1"/>
  <c r="A168" i="1"/>
  <c r="U167" i="1"/>
  <c r="T167" i="1"/>
  <c r="R167" i="1"/>
  <c r="S167" i="1" s="1"/>
  <c r="F167" i="1"/>
  <c r="C167" i="1"/>
  <c r="A167" i="1"/>
  <c r="U166" i="1"/>
  <c r="T166" i="1"/>
  <c r="R166" i="1"/>
  <c r="S166" i="1" s="1"/>
  <c r="F166" i="1"/>
  <c r="C166" i="1"/>
  <c r="A166" i="1"/>
  <c r="U165" i="1"/>
  <c r="T165" i="1"/>
  <c r="R165" i="1"/>
  <c r="S165" i="1" s="1"/>
  <c r="F165" i="1"/>
  <c r="C165" i="1"/>
  <c r="A165" i="1"/>
  <c r="U164" i="1"/>
  <c r="T164" i="1"/>
  <c r="R164" i="1"/>
  <c r="S164" i="1" s="1"/>
  <c r="F164" i="1"/>
  <c r="C164" i="1"/>
  <c r="A164" i="1"/>
  <c r="U163" i="1"/>
  <c r="T163" i="1"/>
  <c r="R163" i="1"/>
  <c r="S163" i="1" s="1"/>
  <c r="F163" i="1"/>
  <c r="C163" i="1"/>
  <c r="A163" i="1"/>
  <c r="U162" i="1"/>
  <c r="T162" i="1"/>
  <c r="R162" i="1"/>
  <c r="S162" i="1" s="1"/>
  <c r="F162" i="1"/>
  <c r="C162" i="1"/>
  <c r="A162" i="1"/>
  <c r="U161" i="1"/>
  <c r="T161" i="1"/>
  <c r="R161" i="1"/>
  <c r="S161" i="1" s="1"/>
  <c r="F161" i="1"/>
  <c r="C161" i="1"/>
  <c r="A161" i="1"/>
  <c r="U160" i="1"/>
  <c r="T160" i="1"/>
  <c r="R160" i="1"/>
  <c r="S160" i="1" s="1"/>
  <c r="F160" i="1"/>
  <c r="C160" i="1"/>
  <c r="A160" i="1"/>
  <c r="U159" i="1"/>
  <c r="T159" i="1"/>
  <c r="R159" i="1"/>
  <c r="S159" i="1" s="1"/>
  <c r="F159" i="1"/>
  <c r="C159" i="1"/>
  <c r="A159" i="1"/>
  <c r="U158" i="1"/>
  <c r="T158" i="1"/>
  <c r="R158" i="1"/>
  <c r="S158" i="1" s="1"/>
  <c r="F158" i="1"/>
  <c r="C158" i="1"/>
  <c r="A158" i="1"/>
  <c r="U157" i="1"/>
  <c r="T157" i="1"/>
  <c r="R157" i="1"/>
  <c r="S157" i="1" s="1"/>
  <c r="F157" i="1"/>
  <c r="C157" i="1"/>
  <c r="A157" i="1"/>
  <c r="U156" i="1"/>
  <c r="T156" i="1"/>
  <c r="R156" i="1"/>
  <c r="S156" i="1" s="1"/>
  <c r="F156" i="1"/>
  <c r="C156" i="1"/>
  <c r="A156" i="1"/>
  <c r="U155" i="1"/>
  <c r="T155" i="1"/>
  <c r="R155" i="1"/>
  <c r="S155" i="1" s="1"/>
  <c r="F155" i="1"/>
  <c r="C155" i="1"/>
  <c r="A155" i="1"/>
  <c r="U154" i="1"/>
  <c r="T154" i="1"/>
  <c r="R154" i="1"/>
  <c r="S154" i="1" s="1"/>
  <c r="F154" i="1"/>
  <c r="C154" i="1"/>
  <c r="A154" i="1"/>
  <c r="U153" i="1"/>
  <c r="T153" i="1"/>
  <c r="R153" i="1"/>
  <c r="S153" i="1" s="1"/>
  <c r="F153" i="1"/>
  <c r="C153" i="1"/>
  <c r="A153" i="1"/>
  <c r="U152" i="1"/>
  <c r="T152" i="1"/>
  <c r="R152" i="1"/>
  <c r="S152" i="1" s="1"/>
  <c r="F152" i="1"/>
  <c r="C152" i="1"/>
  <c r="A152" i="1"/>
  <c r="U151" i="1"/>
  <c r="T151" i="1"/>
  <c r="R151" i="1"/>
  <c r="S151" i="1" s="1"/>
  <c r="F151" i="1"/>
  <c r="C151" i="1"/>
  <c r="A151" i="1"/>
  <c r="U150" i="1"/>
  <c r="T150" i="1"/>
  <c r="R150" i="1"/>
  <c r="S150" i="1" s="1"/>
  <c r="F150" i="1"/>
  <c r="C150" i="1"/>
  <c r="A150" i="1"/>
  <c r="U149" i="1"/>
  <c r="T149" i="1"/>
  <c r="R149" i="1"/>
  <c r="S149" i="1" s="1"/>
  <c r="F149" i="1"/>
  <c r="C149" i="1"/>
  <c r="A149" i="1"/>
  <c r="U148" i="1"/>
  <c r="T148" i="1"/>
  <c r="R148" i="1"/>
  <c r="S148" i="1" s="1"/>
  <c r="F148" i="1"/>
  <c r="C148" i="1"/>
  <c r="A148" i="1"/>
  <c r="U147" i="1"/>
  <c r="T147" i="1"/>
  <c r="R147" i="1"/>
  <c r="S147" i="1" s="1"/>
  <c r="F147" i="1"/>
  <c r="C147" i="1"/>
  <c r="A147" i="1"/>
  <c r="U146" i="1"/>
  <c r="T146" i="1"/>
  <c r="R146" i="1"/>
  <c r="S146" i="1" s="1"/>
  <c r="F146" i="1"/>
  <c r="C146" i="1"/>
  <c r="A146" i="1"/>
  <c r="U145" i="1"/>
  <c r="T145" i="1"/>
  <c r="R145" i="1"/>
  <c r="S145" i="1" s="1"/>
  <c r="F145" i="1"/>
  <c r="C145" i="1"/>
  <c r="A145" i="1"/>
  <c r="U144" i="1"/>
  <c r="T144" i="1"/>
  <c r="R144" i="1"/>
  <c r="S144" i="1" s="1"/>
  <c r="F144" i="1"/>
  <c r="C144" i="1"/>
  <c r="A144" i="1"/>
  <c r="U143" i="1"/>
  <c r="T143" i="1"/>
  <c r="R143" i="1"/>
  <c r="S143" i="1" s="1"/>
  <c r="F143" i="1"/>
  <c r="C143" i="1"/>
  <c r="A143" i="1"/>
  <c r="U142" i="1"/>
  <c r="T142" i="1"/>
  <c r="R142" i="1"/>
  <c r="S142" i="1" s="1"/>
  <c r="F142" i="1"/>
  <c r="C142" i="1"/>
  <c r="A142" i="1"/>
  <c r="U141" i="1"/>
  <c r="T141" i="1"/>
  <c r="R141" i="1"/>
  <c r="S141" i="1" s="1"/>
  <c r="F141" i="1"/>
  <c r="C141" i="1"/>
  <c r="A141" i="1"/>
  <c r="U140" i="1"/>
  <c r="T140" i="1"/>
  <c r="R140" i="1"/>
  <c r="S140" i="1" s="1"/>
  <c r="F140" i="1"/>
  <c r="C140" i="1"/>
  <c r="A140" i="1"/>
  <c r="U139" i="1"/>
  <c r="T139" i="1"/>
  <c r="R139" i="1"/>
  <c r="S139" i="1" s="1"/>
  <c r="F139" i="1"/>
  <c r="C139" i="1"/>
  <c r="A139" i="1"/>
  <c r="U138" i="1"/>
  <c r="T138" i="1"/>
  <c r="R138" i="1"/>
  <c r="S138" i="1" s="1"/>
  <c r="F138" i="1"/>
  <c r="C138" i="1"/>
  <c r="A138" i="1"/>
  <c r="U137" i="1"/>
  <c r="T137" i="1"/>
  <c r="R137" i="1"/>
  <c r="S137" i="1" s="1"/>
  <c r="F137" i="1"/>
  <c r="C137" i="1"/>
  <c r="A137" i="1"/>
  <c r="U136" i="1"/>
  <c r="T136" i="1"/>
  <c r="R136" i="1"/>
  <c r="S136" i="1" s="1"/>
  <c r="F136" i="1"/>
  <c r="C136" i="1"/>
  <c r="A136" i="1"/>
  <c r="U135" i="1"/>
  <c r="T135" i="1"/>
  <c r="R135" i="1"/>
  <c r="S135" i="1" s="1"/>
  <c r="F135" i="1"/>
  <c r="C135" i="1"/>
  <c r="A135" i="1"/>
  <c r="U134" i="1"/>
  <c r="T134" i="1"/>
  <c r="R134" i="1"/>
  <c r="S134" i="1" s="1"/>
  <c r="F134" i="1"/>
  <c r="C134" i="1"/>
  <c r="A134" i="1"/>
  <c r="U133" i="1"/>
  <c r="T133" i="1"/>
  <c r="R133" i="1"/>
  <c r="S133" i="1" s="1"/>
  <c r="F133" i="1"/>
  <c r="C133" i="1"/>
  <c r="A133" i="1"/>
  <c r="U132" i="1"/>
  <c r="T132" i="1"/>
  <c r="R132" i="1"/>
  <c r="S132" i="1" s="1"/>
  <c r="F132" i="1"/>
  <c r="C132" i="1"/>
  <c r="A132" i="1"/>
  <c r="U131" i="1"/>
  <c r="T131" i="1"/>
  <c r="R131" i="1"/>
  <c r="S131" i="1" s="1"/>
  <c r="F131" i="1"/>
  <c r="C131" i="1"/>
  <c r="A131" i="1"/>
  <c r="U130" i="1"/>
  <c r="T130" i="1"/>
  <c r="R130" i="1"/>
  <c r="S130" i="1" s="1"/>
  <c r="F130" i="1"/>
  <c r="C130" i="1"/>
  <c r="A130" i="1"/>
  <c r="U129" i="1"/>
  <c r="T129" i="1"/>
  <c r="R129" i="1"/>
  <c r="S129" i="1" s="1"/>
  <c r="F129" i="1"/>
  <c r="C129" i="1"/>
  <c r="A129" i="1"/>
  <c r="U128" i="1"/>
  <c r="T128" i="1"/>
  <c r="R128" i="1"/>
  <c r="S128" i="1" s="1"/>
  <c r="F128" i="1"/>
  <c r="C128" i="1"/>
  <c r="A128" i="1"/>
  <c r="U127" i="1"/>
  <c r="T127" i="1"/>
  <c r="R127" i="1"/>
  <c r="S127" i="1" s="1"/>
  <c r="F127" i="1"/>
  <c r="C127" i="1"/>
  <c r="A127" i="1"/>
  <c r="U126" i="1"/>
  <c r="T126" i="1"/>
  <c r="R126" i="1"/>
  <c r="S126" i="1" s="1"/>
  <c r="F126" i="1"/>
  <c r="C126" i="1"/>
  <c r="A126" i="1"/>
  <c r="U125" i="1"/>
  <c r="T125" i="1"/>
  <c r="R125" i="1"/>
  <c r="S125" i="1" s="1"/>
  <c r="F125" i="1"/>
  <c r="C125" i="1"/>
  <c r="A125" i="1"/>
  <c r="U124" i="1"/>
  <c r="T124" i="1"/>
  <c r="R124" i="1"/>
  <c r="S124" i="1" s="1"/>
  <c r="F124" i="1"/>
  <c r="C124" i="1"/>
  <c r="A124" i="1"/>
  <c r="U123" i="1"/>
  <c r="T123" i="1"/>
  <c r="R123" i="1"/>
  <c r="S123" i="1" s="1"/>
  <c r="F123" i="1"/>
  <c r="C123" i="1"/>
  <c r="A123" i="1"/>
  <c r="U122" i="1"/>
  <c r="T122" i="1"/>
  <c r="R122" i="1"/>
  <c r="S122" i="1" s="1"/>
  <c r="F122" i="1"/>
  <c r="C122" i="1"/>
  <c r="A122" i="1"/>
  <c r="U121" i="1"/>
  <c r="T121" i="1"/>
  <c r="R121" i="1"/>
  <c r="S121" i="1" s="1"/>
  <c r="F121" i="1"/>
  <c r="C121" i="1"/>
  <c r="A121" i="1"/>
  <c r="U120" i="1"/>
  <c r="T120" i="1"/>
  <c r="R120" i="1"/>
  <c r="S120" i="1" s="1"/>
  <c r="F120" i="1"/>
  <c r="C120" i="1"/>
  <c r="A120" i="1"/>
  <c r="U119" i="1"/>
  <c r="T119" i="1"/>
  <c r="R119" i="1"/>
  <c r="S119" i="1" s="1"/>
  <c r="F119" i="1"/>
  <c r="C119" i="1"/>
  <c r="A119" i="1"/>
  <c r="U118" i="1"/>
  <c r="T118" i="1"/>
  <c r="R118" i="1"/>
  <c r="S118" i="1" s="1"/>
  <c r="F118" i="1"/>
  <c r="C118" i="1"/>
  <c r="A118" i="1"/>
  <c r="U117" i="1"/>
  <c r="T117" i="1"/>
  <c r="R117" i="1"/>
  <c r="S117" i="1" s="1"/>
  <c r="F117" i="1"/>
  <c r="C117" i="1"/>
  <c r="A117" i="1"/>
  <c r="U116" i="1"/>
  <c r="T116" i="1"/>
  <c r="R116" i="1"/>
  <c r="S116" i="1" s="1"/>
  <c r="F116" i="1"/>
  <c r="C116" i="1"/>
  <c r="A116" i="1"/>
  <c r="U115" i="1"/>
  <c r="T115" i="1"/>
  <c r="R115" i="1"/>
  <c r="S115" i="1" s="1"/>
  <c r="F115" i="1"/>
  <c r="C115" i="1"/>
  <c r="A115" i="1"/>
  <c r="U114" i="1"/>
  <c r="T114" i="1"/>
  <c r="R114" i="1"/>
  <c r="S114" i="1" s="1"/>
  <c r="F114" i="1"/>
  <c r="C114" i="1"/>
  <c r="A114" i="1"/>
  <c r="U113" i="1"/>
  <c r="T113" i="1"/>
  <c r="R113" i="1"/>
  <c r="S113" i="1" s="1"/>
  <c r="F113" i="1"/>
  <c r="C113" i="1"/>
  <c r="A113" i="1"/>
  <c r="U112" i="1"/>
  <c r="T112" i="1"/>
  <c r="R112" i="1"/>
  <c r="S112" i="1" s="1"/>
  <c r="F112" i="1"/>
  <c r="C112" i="1"/>
  <c r="A112" i="1"/>
  <c r="U111" i="1"/>
  <c r="T111" i="1"/>
  <c r="R111" i="1"/>
  <c r="S111" i="1" s="1"/>
  <c r="F111" i="1"/>
  <c r="C111" i="1"/>
  <c r="A111" i="1"/>
  <c r="U110" i="1"/>
  <c r="T110" i="1"/>
  <c r="R110" i="1"/>
  <c r="S110" i="1" s="1"/>
  <c r="F110" i="1"/>
  <c r="C110" i="1"/>
  <c r="A110" i="1"/>
  <c r="U109" i="1"/>
  <c r="T109" i="1"/>
  <c r="R109" i="1"/>
  <c r="S109" i="1" s="1"/>
  <c r="F109" i="1"/>
  <c r="C109" i="1"/>
  <c r="A109" i="1"/>
  <c r="U108" i="1"/>
  <c r="T108" i="1"/>
  <c r="R108" i="1"/>
  <c r="S108" i="1" s="1"/>
  <c r="F108" i="1"/>
  <c r="C108" i="1"/>
  <c r="A108" i="1"/>
  <c r="U107" i="1"/>
  <c r="T107" i="1"/>
  <c r="R107" i="1"/>
  <c r="S107" i="1" s="1"/>
  <c r="F107" i="1"/>
  <c r="C107" i="1"/>
  <c r="A107" i="1"/>
  <c r="U106" i="1"/>
  <c r="T106" i="1"/>
  <c r="R106" i="1"/>
  <c r="S106" i="1" s="1"/>
  <c r="F106" i="1"/>
  <c r="C106" i="1"/>
  <c r="A106" i="1"/>
  <c r="U105" i="1"/>
  <c r="T105" i="1"/>
  <c r="R105" i="1"/>
  <c r="S105" i="1" s="1"/>
  <c r="F105" i="1"/>
  <c r="C105" i="1"/>
  <c r="A105" i="1"/>
  <c r="U104" i="1"/>
  <c r="T104" i="1"/>
  <c r="R104" i="1"/>
  <c r="S104" i="1" s="1"/>
  <c r="F104" i="1"/>
  <c r="C104" i="1"/>
  <c r="A104" i="1"/>
  <c r="U103" i="1"/>
  <c r="T103" i="1"/>
  <c r="R103" i="1"/>
  <c r="S103" i="1" s="1"/>
  <c r="F103" i="1"/>
  <c r="C103" i="1"/>
  <c r="A103" i="1"/>
  <c r="U102" i="1"/>
  <c r="T102" i="1"/>
  <c r="R102" i="1"/>
  <c r="S102" i="1" s="1"/>
  <c r="F102" i="1"/>
  <c r="C102" i="1"/>
  <c r="A102" i="1"/>
  <c r="U101" i="1"/>
  <c r="T101" i="1"/>
  <c r="R101" i="1"/>
  <c r="S101" i="1" s="1"/>
  <c r="F101" i="1"/>
  <c r="C101" i="1"/>
  <c r="A101" i="1"/>
  <c r="U100" i="1"/>
  <c r="T100" i="1"/>
  <c r="R100" i="1"/>
  <c r="S100" i="1" s="1"/>
  <c r="F100" i="1"/>
  <c r="C100" i="1"/>
  <c r="A100" i="1"/>
  <c r="U99" i="1"/>
  <c r="T99" i="1"/>
  <c r="R99" i="1"/>
  <c r="S99" i="1" s="1"/>
  <c r="F99" i="1"/>
  <c r="C99" i="1"/>
  <c r="A99" i="1"/>
  <c r="U98" i="1"/>
  <c r="T98" i="1"/>
  <c r="R98" i="1"/>
  <c r="S98" i="1" s="1"/>
  <c r="F98" i="1"/>
  <c r="C98" i="1"/>
  <c r="A98" i="1"/>
  <c r="U97" i="1"/>
  <c r="T97" i="1"/>
  <c r="R97" i="1"/>
  <c r="S97" i="1" s="1"/>
  <c r="F97" i="1"/>
  <c r="C97" i="1"/>
  <c r="A97" i="1"/>
  <c r="U96" i="1"/>
  <c r="T96" i="1"/>
  <c r="R96" i="1"/>
  <c r="S96" i="1" s="1"/>
  <c r="F96" i="1"/>
  <c r="C96" i="1"/>
  <c r="A96" i="1"/>
  <c r="U95" i="1"/>
  <c r="T95" i="1"/>
  <c r="R95" i="1"/>
  <c r="S95" i="1" s="1"/>
  <c r="F95" i="1"/>
  <c r="C95" i="1"/>
  <c r="A95" i="1"/>
  <c r="U94" i="1"/>
  <c r="T94" i="1"/>
  <c r="R94" i="1"/>
  <c r="S94" i="1" s="1"/>
  <c r="F94" i="1"/>
  <c r="C94" i="1"/>
  <c r="A94" i="1"/>
  <c r="U93" i="1"/>
  <c r="T93" i="1"/>
  <c r="R93" i="1"/>
  <c r="S93" i="1" s="1"/>
  <c r="F93" i="1"/>
  <c r="C93" i="1"/>
  <c r="A93" i="1"/>
  <c r="U92" i="1"/>
  <c r="T92" i="1"/>
  <c r="R92" i="1"/>
  <c r="S92" i="1" s="1"/>
  <c r="F92" i="1"/>
  <c r="C92" i="1"/>
  <c r="A92" i="1"/>
  <c r="U91" i="1"/>
  <c r="T91" i="1"/>
  <c r="R91" i="1"/>
  <c r="S91" i="1" s="1"/>
  <c r="F91" i="1"/>
  <c r="C91" i="1"/>
  <c r="A91" i="1"/>
  <c r="U90" i="1"/>
  <c r="T90" i="1"/>
  <c r="R90" i="1"/>
  <c r="S90" i="1" s="1"/>
  <c r="F90" i="1"/>
  <c r="C90" i="1"/>
  <c r="A90" i="1"/>
  <c r="U89" i="1"/>
  <c r="T89" i="1"/>
  <c r="R89" i="1"/>
  <c r="S89" i="1" s="1"/>
  <c r="F89" i="1"/>
  <c r="C89" i="1"/>
  <c r="A89" i="1"/>
  <c r="U88" i="1"/>
  <c r="T88" i="1"/>
  <c r="R88" i="1"/>
  <c r="S88" i="1" s="1"/>
  <c r="F88" i="1"/>
  <c r="C88" i="1"/>
  <c r="A88" i="1"/>
  <c r="U87" i="1"/>
  <c r="T87" i="1"/>
  <c r="R87" i="1"/>
  <c r="S87" i="1" s="1"/>
  <c r="F87" i="1"/>
  <c r="C87" i="1"/>
  <c r="A87" i="1"/>
  <c r="U86" i="1"/>
  <c r="T86" i="1"/>
  <c r="R86" i="1"/>
  <c r="S86" i="1" s="1"/>
  <c r="F86" i="1"/>
  <c r="C86" i="1"/>
  <c r="A86" i="1"/>
  <c r="U85" i="1"/>
  <c r="T85" i="1"/>
  <c r="R85" i="1"/>
  <c r="S85" i="1" s="1"/>
  <c r="F85" i="1"/>
  <c r="C85" i="1"/>
  <c r="A85" i="1"/>
  <c r="U84" i="1"/>
  <c r="T84" i="1"/>
  <c r="R84" i="1"/>
  <c r="S84" i="1" s="1"/>
  <c r="F84" i="1"/>
  <c r="C84" i="1"/>
  <c r="A84" i="1"/>
  <c r="U83" i="1"/>
  <c r="T83" i="1"/>
  <c r="R83" i="1"/>
  <c r="S83" i="1" s="1"/>
  <c r="F83" i="1"/>
  <c r="C83" i="1"/>
  <c r="A83" i="1"/>
  <c r="U82" i="1"/>
  <c r="T82" i="1"/>
  <c r="R82" i="1"/>
  <c r="S82" i="1" s="1"/>
  <c r="F82" i="1"/>
  <c r="C82" i="1"/>
  <c r="A82" i="1"/>
  <c r="U81" i="1"/>
  <c r="T81" i="1"/>
  <c r="R81" i="1"/>
  <c r="S81" i="1" s="1"/>
  <c r="F81" i="1"/>
  <c r="C81" i="1"/>
  <c r="A81" i="1"/>
  <c r="U80" i="1"/>
  <c r="T80" i="1"/>
  <c r="R80" i="1"/>
  <c r="S80" i="1" s="1"/>
  <c r="F80" i="1"/>
  <c r="C80" i="1"/>
  <c r="A80" i="1"/>
  <c r="U79" i="1"/>
  <c r="T79" i="1"/>
  <c r="R79" i="1"/>
  <c r="S79" i="1" s="1"/>
  <c r="F79" i="1"/>
  <c r="C79" i="1"/>
  <c r="A79" i="1"/>
  <c r="U78" i="1"/>
  <c r="T78" i="1"/>
  <c r="R78" i="1"/>
  <c r="S78" i="1" s="1"/>
  <c r="F78" i="1"/>
  <c r="C78" i="1"/>
  <c r="A78" i="1"/>
  <c r="U77" i="1"/>
  <c r="T77" i="1"/>
  <c r="R77" i="1"/>
  <c r="S77" i="1" s="1"/>
  <c r="F77" i="1"/>
  <c r="C77" i="1"/>
  <c r="A77" i="1"/>
  <c r="U76" i="1"/>
  <c r="T76" i="1"/>
  <c r="R76" i="1"/>
  <c r="S76" i="1" s="1"/>
  <c r="F76" i="1"/>
  <c r="C76" i="1"/>
  <c r="A76" i="1"/>
  <c r="U75" i="1"/>
  <c r="T75" i="1"/>
  <c r="R75" i="1"/>
  <c r="S75" i="1" s="1"/>
  <c r="F75" i="1"/>
  <c r="C75" i="1"/>
  <c r="A75" i="1"/>
  <c r="U74" i="1"/>
  <c r="T74" i="1"/>
  <c r="R74" i="1"/>
  <c r="S74" i="1" s="1"/>
  <c r="F74" i="1"/>
  <c r="C74" i="1"/>
  <c r="A74" i="1"/>
  <c r="U73" i="1"/>
  <c r="T73" i="1"/>
  <c r="R73" i="1"/>
  <c r="S73" i="1" s="1"/>
  <c r="F73" i="1"/>
  <c r="C73" i="1"/>
  <c r="A73" i="1"/>
  <c r="U72" i="1"/>
  <c r="T72" i="1"/>
  <c r="R72" i="1"/>
  <c r="S72" i="1" s="1"/>
  <c r="F72" i="1"/>
  <c r="C72" i="1"/>
  <c r="A72" i="1"/>
  <c r="U71" i="1"/>
  <c r="T71" i="1"/>
  <c r="R71" i="1"/>
  <c r="S71" i="1" s="1"/>
  <c r="F71" i="1"/>
  <c r="C71" i="1"/>
  <c r="A71" i="1"/>
  <c r="U70" i="1"/>
  <c r="T70" i="1"/>
  <c r="R70" i="1"/>
  <c r="S70" i="1" s="1"/>
  <c r="F70" i="1"/>
  <c r="C70" i="1"/>
  <c r="A70" i="1"/>
  <c r="U69" i="1"/>
  <c r="T69" i="1"/>
  <c r="R69" i="1"/>
  <c r="S69" i="1" s="1"/>
  <c r="F69" i="1"/>
  <c r="C69" i="1"/>
  <c r="A69" i="1"/>
  <c r="U68" i="1"/>
  <c r="T68" i="1"/>
  <c r="R68" i="1"/>
  <c r="S68" i="1" s="1"/>
  <c r="F68" i="1"/>
  <c r="C68" i="1"/>
  <c r="A68" i="1"/>
  <c r="U67" i="1"/>
  <c r="T67" i="1"/>
  <c r="R67" i="1"/>
  <c r="S67" i="1" s="1"/>
  <c r="F67" i="1"/>
  <c r="C67" i="1"/>
  <c r="A67" i="1"/>
  <c r="U66" i="1"/>
  <c r="T66" i="1"/>
  <c r="R66" i="1"/>
  <c r="S66" i="1" s="1"/>
  <c r="F66" i="1"/>
  <c r="C66" i="1"/>
  <c r="A66" i="1"/>
  <c r="U65" i="1"/>
  <c r="T65" i="1"/>
  <c r="R65" i="1"/>
  <c r="S65" i="1" s="1"/>
  <c r="F65" i="1"/>
  <c r="C65" i="1"/>
  <c r="A65" i="1"/>
  <c r="U64" i="1"/>
  <c r="T64" i="1"/>
  <c r="R64" i="1"/>
  <c r="S64" i="1" s="1"/>
  <c r="F64" i="1"/>
  <c r="C64" i="1"/>
  <c r="A64" i="1"/>
  <c r="U63" i="1"/>
  <c r="T63" i="1"/>
  <c r="R63" i="1"/>
  <c r="S63" i="1" s="1"/>
  <c r="F63" i="1"/>
  <c r="C63" i="1"/>
  <c r="A63" i="1"/>
  <c r="U62" i="1"/>
  <c r="T62" i="1"/>
  <c r="R62" i="1"/>
  <c r="S62" i="1" s="1"/>
  <c r="F62" i="1"/>
  <c r="C62" i="1"/>
  <c r="A62" i="1"/>
  <c r="U61" i="1"/>
  <c r="T61" i="1"/>
  <c r="R61" i="1"/>
  <c r="S61" i="1" s="1"/>
  <c r="F61" i="1"/>
  <c r="C61" i="1"/>
  <c r="A61" i="1"/>
  <c r="U60" i="1"/>
  <c r="T60" i="1"/>
  <c r="R60" i="1"/>
  <c r="S60" i="1" s="1"/>
  <c r="F60" i="1"/>
  <c r="C60" i="1"/>
  <c r="A60" i="1"/>
  <c r="U59" i="1"/>
  <c r="T59" i="1"/>
  <c r="R59" i="1"/>
  <c r="S59" i="1" s="1"/>
  <c r="F59" i="1"/>
  <c r="C59" i="1"/>
  <c r="A59" i="1"/>
  <c r="U58" i="1"/>
  <c r="T58" i="1"/>
  <c r="R58" i="1"/>
  <c r="S58" i="1" s="1"/>
  <c r="F58" i="1"/>
  <c r="C58" i="1"/>
  <c r="A58" i="1"/>
  <c r="U57" i="1"/>
  <c r="T57" i="1"/>
  <c r="R57" i="1"/>
  <c r="S57" i="1" s="1"/>
  <c r="F57" i="1"/>
  <c r="C57" i="1"/>
  <c r="A57" i="1"/>
  <c r="U56" i="1"/>
  <c r="T56" i="1"/>
  <c r="R56" i="1"/>
  <c r="S56" i="1" s="1"/>
  <c r="F56" i="1"/>
  <c r="C56" i="1"/>
  <c r="A56" i="1"/>
  <c r="U55" i="1"/>
  <c r="T55" i="1"/>
  <c r="R55" i="1"/>
  <c r="S55" i="1" s="1"/>
  <c r="F55" i="1"/>
  <c r="C55" i="1"/>
  <c r="A55" i="1"/>
  <c r="U54" i="1"/>
  <c r="T54" i="1"/>
  <c r="R54" i="1"/>
  <c r="S54" i="1" s="1"/>
  <c r="F54" i="1"/>
  <c r="C54" i="1"/>
  <c r="A54" i="1"/>
  <c r="U53" i="1"/>
  <c r="T53" i="1"/>
  <c r="R53" i="1"/>
  <c r="S53" i="1" s="1"/>
  <c r="F53" i="1"/>
  <c r="C53" i="1"/>
  <c r="A53" i="1"/>
  <c r="U52" i="1"/>
  <c r="T52" i="1"/>
  <c r="R52" i="1"/>
  <c r="S52" i="1" s="1"/>
  <c r="F52" i="1"/>
  <c r="C52" i="1"/>
  <c r="A52" i="1"/>
  <c r="U51" i="1"/>
  <c r="T51" i="1"/>
  <c r="R51" i="1"/>
  <c r="S51" i="1" s="1"/>
  <c r="F51" i="1"/>
  <c r="C51" i="1"/>
  <c r="A51" i="1"/>
  <c r="U50" i="1"/>
  <c r="T50" i="1"/>
  <c r="R50" i="1"/>
  <c r="S50" i="1" s="1"/>
  <c r="F50" i="1"/>
  <c r="C50" i="1"/>
  <c r="A50" i="1"/>
  <c r="U49" i="1"/>
  <c r="T49" i="1"/>
  <c r="R49" i="1"/>
  <c r="S49" i="1" s="1"/>
  <c r="F49" i="1"/>
  <c r="C49" i="1"/>
  <c r="A49" i="1"/>
  <c r="U48" i="1"/>
  <c r="T48" i="1"/>
  <c r="R48" i="1"/>
  <c r="S48" i="1" s="1"/>
  <c r="F48" i="1"/>
  <c r="C48" i="1"/>
  <c r="A48" i="1"/>
  <c r="U47" i="1"/>
  <c r="T47" i="1"/>
  <c r="R47" i="1"/>
  <c r="S47" i="1" s="1"/>
  <c r="F47" i="1"/>
  <c r="C47" i="1"/>
  <c r="A47" i="1"/>
  <c r="U46" i="1"/>
  <c r="T46" i="1"/>
  <c r="R46" i="1"/>
  <c r="S46" i="1" s="1"/>
  <c r="F46" i="1"/>
  <c r="C46" i="1"/>
  <c r="A46" i="1"/>
  <c r="U45" i="1"/>
  <c r="T45" i="1"/>
  <c r="R45" i="1"/>
  <c r="S45" i="1" s="1"/>
  <c r="F45" i="1"/>
  <c r="C45" i="1"/>
  <c r="A45" i="1"/>
  <c r="U44" i="1"/>
  <c r="T44" i="1"/>
  <c r="R44" i="1"/>
  <c r="S44" i="1" s="1"/>
  <c r="F44" i="1"/>
  <c r="C44" i="1"/>
  <c r="A44" i="1"/>
  <c r="U43" i="1"/>
  <c r="T43" i="1"/>
  <c r="R43" i="1"/>
  <c r="S43" i="1" s="1"/>
  <c r="F43" i="1"/>
  <c r="C43" i="1"/>
  <c r="A43" i="1"/>
  <c r="U42" i="1"/>
  <c r="T42" i="1"/>
  <c r="R42" i="1"/>
  <c r="S42" i="1" s="1"/>
  <c r="F42" i="1"/>
  <c r="C42" i="1"/>
  <c r="A42" i="1"/>
  <c r="U41" i="1"/>
  <c r="T41" i="1"/>
  <c r="R41" i="1"/>
  <c r="S41" i="1" s="1"/>
  <c r="F41" i="1"/>
  <c r="C41" i="1"/>
  <c r="A41" i="1"/>
  <c r="U40" i="1"/>
  <c r="T40" i="1"/>
  <c r="R40" i="1"/>
  <c r="S40" i="1" s="1"/>
  <c r="F40" i="1"/>
  <c r="C40" i="1"/>
  <c r="A40" i="1"/>
  <c r="U39" i="1"/>
  <c r="T39" i="1"/>
  <c r="R39" i="1"/>
  <c r="S39" i="1" s="1"/>
  <c r="F39" i="1"/>
  <c r="C39" i="1"/>
  <c r="A39" i="1"/>
  <c r="U38" i="1"/>
  <c r="T38" i="1"/>
  <c r="R38" i="1"/>
  <c r="S38" i="1" s="1"/>
  <c r="F38" i="1"/>
  <c r="C38" i="1"/>
  <c r="A38" i="1"/>
  <c r="U37" i="1"/>
  <c r="T37" i="1"/>
  <c r="R37" i="1"/>
  <c r="S37" i="1" s="1"/>
  <c r="F37" i="1"/>
  <c r="C37" i="1"/>
  <c r="A37" i="1"/>
  <c r="U36" i="1"/>
  <c r="T36" i="1"/>
  <c r="R36" i="1"/>
  <c r="S36" i="1" s="1"/>
  <c r="F36" i="1"/>
  <c r="C36" i="1"/>
  <c r="A36" i="1"/>
  <c r="U35" i="1"/>
  <c r="T35" i="1"/>
  <c r="R35" i="1"/>
  <c r="S35" i="1" s="1"/>
  <c r="F35" i="1"/>
  <c r="C35" i="1"/>
  <c r="A35" i="1"/>
  <c r="U34" i="1"/>
  <c r="T34" i="1"/>
  <c r="R34" i="1"/>
  <c r="S34" i="1" s="1"/>
  <c r="F34" i="1"/>
  <c r="C34" i="1"/>
  <c r="A34" i="1"/>
  <c r="U33" i="1"/>
  <c r="T33" i="1"/>
  <c r="R33" i="1"/>
  <c r="S33" i="1" s="1"/>
  <c r="F33" i="1"/>
  <c r="C33" i="1"/>
  <c r="A33" i="1"/>
  <c r="U32" i="1"/>
  <c r="T32" i="1"/>
  <c r="R32" i="1"/>
  <c r="S32" i="1" s="1"/>
  <c r="F32" i="1"/>
  <c r="C32" i="1"/>
  <c r="A32" i="1"/>
  <c r="U31" i="1"/>
  <c r="T31" i="1"/>
  <c r="R31" i="1"/>
  <c r="S31" i="1" s="1"/>
  <c r="F31" i="1"/>
  <c r="C31" i="1"/>
  <c r="A31" i="1"/>
  <c r="U30" i="1"/>
  <c r="T30" i="1"/>
  <c r="R30" i="1"/>
  <c r="S30" i="1" s="1"/>
  <c r="F30" i="1"/>
  <c r="C30" i="1"/>
  <c r="A30" i="1"/>
  <c r="U29" i="1"/>
  <c r="T29" i="1"/>
  <c r="R29" i="1"/>
  <c r="S29" i="1" s="1"/>
  <c r="F29" i="1"/>
  <c r="C29" i="1"/>
  <c r="A29" i="1"/>
  <c r="U28" i="1"/>
  <c r="T28" i="1"/>
  <c r="R28" i="1"/>
  <c r="S28" i="1" s="1"/>
  <c r="F28" i="1"/>
  <c r="C28" i="1"/>
  <c r="A28" i="1"/>
  <c r="U27" i="1"/>
  <c r="T27" i="1"/>
  <c r="R27" i="1"/>
  <c r="S27" i="1" s="1"/>
  <c r="F27" i="1"/>
  <c r="C27" i="1"/>
  <c r="A27" i="1"/>
  <c r="U26" i="1"/>
  <c r="T26" i="1"/>
  <c r="R26" i="1"/>
  <c r="S26" i="1" s="1"/>
  <c r="F26" i="1"/>
  <c r="C26" i="1"/>
  <c r="A26" i="1"/>
  <c r="U25" i="1"/>
  <c r="T25" i="1"/>
  <c r="R25" i="1"/>
  <c r="S25" i="1" s="1"/>
  <c r="F25" i="1"/>
  <c r="C25" i="1"/>
  <c r="A25" i="1"/>
  <c r="U24" i="1"/>
  <c r="T24" i="1"/>
  <c r="R24" i="1"/>
  <c r="S24" i="1" s="1"/>
  <c r="F24" i="1"/>
  <c r="C24" i="1"/>
  <c r="A24" i="1"/>
  <c r="U23" i="1"/>
  <c r="T23" i="1"/>
  <c r="R23" i="1"/>
  <c r="S23" i="1" s="1"/>
  <c r="F23" i="1"/>
  <c r="C23" i="1"/>
  <c r="A23" i="1"/>
  <c r="U22" i="1"/>
  <c r="T22" i="1"/>
  <c r="R22" i="1"/>
  <c r="S22" i="1" s="1"/>
  <c r="F22" i="1"/>
  <c r="C22" i="1"/>
  <c r="A22" i="1"/>
  <c r="U21" i="1"/>
  <c r="T21" i="1"/>
  <c r="R21" i="1"/>
  <c r="S21" i="1" s="1"/>
  <c r="F21" i="1"/>
  <c r="C21" i="1"/>
  <c r="A21" i="1"/>
  <c r="U20" i="1"/>
  <c r="T20" i="1"/>
  <c r="R20" i="1"/>
  <c r="S20" i="1" s="1"/>
  <c r="F20" i="1"/>
  <c r="C20" i="1"/>
  <c r="A20" i="1"/>
  <c r="U19" i="1"/>
  <c r="T19" i="1"/>
  <c r="R19" i="1"/>
  <c r="S19" i="1" s="1"/>
  <c r="F19" i="1"/>
  <c r="C19" i="1"/>
  <c r="A19" i="1"/>
  <c r="U18" i="1"/>
  <c r="T18" i="1"/>
  <c r="R18" i="1"/>
  <c r="S18" i="1" s="1"/>
  <c r="F18" i="1"/>
  <c r="C18" i="1"/>
  <c r="A18" i="1"/>
  <c r="U17" i="1"/>
  <c r="T17" i="1"/>
  <c r="R17" i="1"/>
  <c r="S17" i="1" s="1"/>
  <c r="F17" i="1"/>
  <c r="C17" i="1"/>
  <c r="A17" i="1"/>
  <c r="U16" i="1"/>
  <c r="T16" i="1"/>
  <c r="R16" i="1"/>
  <c r="S16" i="1" s="1"/>
  <c r="F16" i="1"/>
  <c r="C16" i="1"/>
  <c r="A16" i="1"/>
  <c r="U15" i="1"/>
  <c r="T15" i="1"/>
  <c r="R15" i="1"/>
  <c r="S15" i="1" s="1"/>
  <c r="F15" i="1"/>
  <c r="C15" i="1"/>
  <c r="A15" i="1"/>
  <c r="U14" i="1"/>
  <c r="T14" i="1"/>
  <c r="R14" i="1"/>
  <c r="S14" i="1" s="1"/>
  <c r="F14" i="1"/>
  <c r="C14" i="1"/>
  <c r="A14" i="1"/>
  <c r="U13" i="1"/>
  <c r="T13" i="1"/>
  <c r="R13" i="1"/>
  <c r="S13" i="1" s="1"/>
  <c r="F13" i="1"/>
  <c r="C13" i="1"/>
  <c r="A13" i="1"/>
  <c r="U12" i="1"/>
  <c r="T12" i="1"/>
  <c r="R12" i="1"/>
  <c r="S12" i="1" s="1"/>
  <c r="F12" i="1"/>
  <c r="C12" i="1"/>
  <c r="A12" i="1"/>
  <c r="U11" i="1"/>
  <c r="T11" i="1"/>
  <c r="R11" i="1"/>
  <c r="S11" i="1" s="1"/>
  <c r="F11" i="1"/>
  <c r="C11" i="1"/>
  <c r="A11" i="1"/>
  <c r="U10" i="1"/>
  <c r="T10" i="1"/>
  <c r="R10" i="1"/>
  <c r="S10" i="1" s="1"/>
  <c r="F10" i="1"/>
  <c r="C10" i="1"/>
  <c r="A10" i="1"/>
  <c r="U9" i="1"/>
  <c r="T9" i="1"/>
  <c r="R9" i="1"/>
  <c r="S9" i="1" s="1"/>
  <c r="F9" i="1"/>
  <c r="C9" i="1"/>
  <c r="A9" i="1"/>
  <c r="U8" i="1"/>
  <c r="T8" i="1"/>
  <c r="R8" i="1"/>
  <c r="S8" i="1" s="1"/>
  <c r="F8" i="1"/>
  <c r="C8" i="1"/>
  <c r="A8" i="1"/>
  <c r="U7" i="1"/>
  <c r="T7" i="1"/>
  <c r="R7" i="1"/>
  <c r="S7" i="1" s="1"/>
  <c r="F7" i="1"/>
  <c r="C7" i="1"/>
  <c r="A7" i="1"/>
  <c r="U6" i="1"/>
  <c r="T6" i="1"/>
  <c r="R6" i="1"/>
  <c r="S6" i="1" s="1"/>
  <c r="F6" i="1"/>
  <c r="C6" i="1"/>
  <c r="A6" i="1"/>
  <c r="U5" i="1"/>
  <c r="T5" i="1"/>
  <c r="R5" i="1"/>
  <c r="S5" i="1" s="1"/>
  <c r="F5" i="1"/>
  <c r="C5" i="1"/>
  <c r="A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M2M</author>
  </authors>
  <commentList>
    <comment ref="B4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3자리 고정: &lt;구분&gt;&lt;일련&gt;&lt;리비전&gt;
예) MA0 = 벤더 모듈 A, EA1 = 평가 보드 A Rev1
한 번 할당한 코드는 단종 후에도 재사용 금지</t>
        </r>
      </text>
    </comment>
    <comment ref="K4" authorId="0" shapeId="0" xr:uid="{00000000-0006-0000-0000-000002000000}">
      <text>
        <r>
          <rPr>
            <sz val="11"/>
            <color theme="1"/>
            <rFont val="맑은 고딕"/>
            <family val="2"/>
            <scheme val="minor"/>
          </rPr>
          <t>보드에 실장된 메인 XTAL 주파수. 빌드 설정(ESP-IDF CONFIG_XTAL_FREQ)과 일치해야 한다.</t>
        </r>
      </text>
    </comment>
    <comment ref="N4" authorId="0" shapeId="0" xr:uid="{00000000-0006-0000-0000-000003000000}">
      <text>
        <r>
          <rPr>
            <sz val="11"/>
            <color theme="1"/>
            <rFont val="맑은 고딕"/>
            <family val="2"/>
            <scheme val="minor"/>
          </rPr>
          <t>이 보드용 표준 배포 이미지의 CUSTOMER 3자리. ESP32-C3 표준 = AC0.</t>
        </r>
      </text>
    </comment>
  </commentList>
</comments>
</file>

<file path=xl/sharedStrings.xml><?xml version="1.0" encoding="utf-8"?>
<sst xmlns="http://schemas.openxmlformats.org/spreadsheetml/2006/main" count="339" uniqueCount="211">
  <si>
    <t>M2M 보드 코드 할당 대장 (BOARD, 3자리 = 구분 1자 + 일련 1자 + 리비전 1자)</t>
  </si>
  <si>
    <t>근거: M2M_SW Release Naming Guide v2.0, 4.2절. 노란 셀 입력, 회색 셀은 수식(수정 금지), 회색 기울임 행은 형식 예시. 구분: M 벤더 모듈 / E 평가 보드 / P 제품 보드 / C·D 고객 보드 / T 시험 지그. 리비전: 벤더 모듈 0, 그 외 1부터 (펌웨어가 달라지는 변경만 올림).</t>
  </si>
  <si>
    <t>No</t>
  </si>
  <si>
    <t>보드 코드</t>
  </si>
  <si>
    <t>구분
(자동)</t>
  </si>
  <si>
    <t>상태</t>
  </si>
  <si>
    <t>칩 코드</t>
  </si>
  <si>
    <t>칩
(자동)</t>
  </si>
  <si>
    <t>보드 / 모듈명</t>
  </si>
  <si>
    <t>이전 코드
(대체 대상)</t>
  </si>
  <si>
    <t>고객 코드
(C·D 보드)</t>
  </si>
  <si>
    <t>FLASH</t>
  </si>
  <si>
    <t>CLK</t>
  </si>
  <si>
    <t>안테나</t>
  </si>
  <si>
    <t>Host IF</t>
  </si>
  <si>
    <t>기본
CUSTOMER</t>
  </si>
  <si>
    <t>등록일</t>
  </si>
  <si>
    <t>등록자</t>
  </si>
  <si>
    <t>비고 / 변경 사유</t>
  </si>
  <si>
    <t>HW 세그먼트
(자동)</t>
  </si>
  <si>
    <t>표준 파일명 예
(자동, CMD=MM)</t>
  </si>
  <si>
    <t>코드 검사
(자동)</t>
  </si>
  <si>
    <t>참조 검사
(자동)</t>
  </si>
  <si>
    <t>MA0</t>
  </si>
  <si>
    <t>사용</t>
  </si>
  <si>
    <t>EC3</t>
  </si>
  <si>
    <t>ESP32-C3-MINI-1</t>
  </si>
  <si>
    <t>N04</t>
  </si>
  <si>
    <t>40M</t>
  </si>
  <si>
    <t>PCB</t>
  </si>
  <si>
    <t>UART</t>
  </si>
  <si>
    <t>AC0</t>
  </si>
  <si>
    <t>2026-09-26</t>
  </si>
  <si>
    <t>ESP32-C3 표준 모듈, AC0 기본 구성 (Naming Guide 4.5.1절)</t>
  </si>
  <si>
    <t>MB0</t>
  </si>
  <si>
    <t>ESP32-C3-MINI-1U</t>
  </si>
  <si>
    <t>U.FL</t>
  </si>
  <si>
    <t>외부 안테나. AT*M2M*SYS_ANTENNA 기본 1</t>
  </si>
  <si>
    <t>MC0</t>
  </si>
  <si>
    <t>예비</t>
  </si>
  <si>
    <t>ESP32-C3-WROOM-02</t>
  </si>
  <si>
    <t>MD0</t>
  </si>
  <si>
    <t>ESP32-C3-WROOM-02U</t>
  </si>
  <si>
    <t>EA1</t>
  </si>
  <si>
    <t>평가중</t>
  </si>
  <si>
    <t>M2M ESP32-C3 EV Board (Rev 1)</t>
  </si>
  <si>
    <t>개발·평가용</t>
  </si>
  <si>
    <t>CA1</t>
  </si>
  <si>
    <t>예시</t>
  </si>
  <si>
    <t>EC2</t>
  </si>
  <si>
    <t>(예시) 고객 BA 보드 A (Rev 1)</t>
  </si>
  <si>
    <t>BA</t>
  </si>
  <si>
    <t>N02</t>
  </si>
  <si>
    <t>26M</t>
  </si>
  <si>
    <t>BA1</t>
  </si>
  <si>
    <t>형식 예시 — 펌웨어가 달라지는 변경 시 CA2로 새 행 추가, 이전 코드=CA1</t>
  </si>
  <si>
    <t>코드 할당 규칙</t>
  </si>
  <si>
    <t>근거 문서</t>
  </si>
  <si>
    <t>M2M_SW Release Naming Guide v2.0 — 4.2절(HW 세그먼트), 4.3절(FW 세그먼트 CMD), 4.5절(CUSTOMER)</t>
  </si>
  <si>
    <t>파일명 구조</t>
  </si>
  <si>
    <t>M2M_&lt;CHIP&gt;-&lt;BOARD&gt;-&lt;FLASH&gt;-&lt;CLK&gt;_&lt;APP&gt;-&lt;CMD&gt;-&lt;IF&gt;_V&lt;MM&gt;.&lt;NN&gt;_&lt;CUSTOMER&gt;&lt;REL&gt;_&lt;CONFIG&gt;_&lt;YYMMDD&gt;
예) M2M_EC3-MA0-N04-40M_AT-MM-UART_V01.00_AC0_0FN_260926.zip</t>
  </si>
  <si>
    <t>3자리 고정</t>
  </si>
  <si>
    <t>CHIP, BOARD, FLASH, CLK는 모두 3자리 고정 코드. 실제 칩·보드 이름은 이 대장에서만 찾는다 (파일명에 긴 이름을 쓰지 않음)</t>
  </si>
  <si>
    <t>CHIP</t>
  </si>
  <si>
    <t>&lt;벤더 1자&gt;&lt;칩 2자&gt;. 벤더 문자는 "벤더코드" 시트, 칩 코드는 "칩코드" 시트에 먼저 등록 (예: EC3 = Espressif ESP32-C3)</t>
  </si>
  <si>
    <t>BOARD</t>
  </si>
  <si>
    <t>&lt;구분 1자&gt;&lt;일련 1자&gt;&lt;리비전 1자&gt;. 구분 M 벤더 모듈 / E 평가 보드 / P 제품 보드 / C·D 고객 보드 / T 시험 지그. 일련은 구분별 0~9, A~Z 순서</t>
  </si>
  <si>
    <t>리비전</t>
  </si>
  <si>
    <t>벤더 모듈은 0 고정. 자체·고객 보드는 1부터 1~9, A~Z. 펌웨어가 달라지는 변경(UART 등 핀맵, 안테나 스위치, 플래시 용량, XTAL, 전원 제어 GPIO)이 있을 때만 올린다</t>
  </si>
  <si>
    <t>리비전 올릴 때</t>
  </si>
  <si>
    <t>기존 행은 그대로 두고 새 행을 추가, "이전 코드"에 대체 대상을 기입. 기존 코드는 필요 시 상태를 "단종"으로</t>
  </si>
  <si>
    <t>고객 보드</t>
  </si>
  <si>
    <t>C·D 보드는 "고객 코드" 열 필수. 어느 고객의 보드인지는 코드가 아니라 이 열로 관리</t>
  </si>
  <si>
    <t>CMD</t>
  </si>
  <si>
    <t>"명령체계코드" 시트. AT 명령 체계 영문 대문자 2자리, 기본값 MM(M2M-AT). 타사 호환 체계(IC, ES 등)는 등록 후 사용. AT 명령이 없는 펌웨어는 NA</t>
  </si>
  <si>
    <t>FLASH / CLK</t>
  </si>
  <si>
    <t>FLASH: N01~N16(일반), H02~H08(고온). CLK: 24M/26M/32M/40M/52M</t>
  </si>
  <si>
    <t>CUSTOMER</t>
  </si>
  <si>
    <t>"고객코드" 시트. AA 내부 공통, AC ESP32-C3 표준 보드 기본값(AC0), BA부터 고객사, Z* 예비</t>
  </si>
  <si>
    <t>장치 SW 버전</t>
  </si>
  <si>
    <t>펌웨어가 SYS_VER·OTA_CHECK로 보고하는 버전은 &lt;MM&gt;.&lt;NN&gt; 형식(예 01.00)만. 고객 코드(예 AC0)는 SYS_VER의 별도 필드로 보고. 이 대장의 코드들은 파일명과 이미지 ID(&lt;HW&gt;_&lt;CMD&gt;_&lt;CUSTOMER&gt;, 예 EC3-MA0-N04-40M_MM_AC0)에만 쓰고 버전 문자열에는 넣지 않는다</t>
  </si>
  <si>
    <t>재사용 금지</t>
  </si>
  <si>
    <t>한 번 할당한 코드(벤더·칩·보드·명령 체계·고객)는 단종 후에도 다른 대상에 재사용하지 않는다</t>
  </si>
  <si>
    <t>셀 색상</t>
  </si>
  <si>
    <t>노란색 = 입력, 회색 = 수식(수정 금지), 회색 기울임 행 = 형식 예시, 검사 열 녹색 = OK / 주황 = 오류</t>
  </si>
  <si>
    <t>핀맵</t>
  </si>
  <si>
    <t>UART 등 보드 핀맵은 이 대장에 기록하지 않는다. 보드별 빌드 설정(CONFIG)에서 확인한다. 핀맵이 바뀌어 설정이 달라지면 보드 리비전을 올린다</t>
  </si>
  <si>
    <t>보드 구분 문자</t>
  </si>
  <si>
    <t>보드 구분 의미</t>
  </si>
  <si>
    <t>드롭다운 원본 값. 값을 추가할 때는 해당 열 아래에 이어 쓴다 (행 2~20 범위). B·C열(보드 구분)은 같은 행끼리 짝을 이룬다.</t>
  </si>
  <si>
    <t>M</t>
  </si>
  <si>
    <t>벤더 표준 모듈</t>
  </si>
  <si>
    <t>N01</t>
  </si>
  <si>
    <t>24M</t>
  </si>
  <si>
    <t>E</t>
  </si>
  <si>
    <t>자체 평가·개발 보드</t>
  </si>
  <si>
    <t>SPI</t>
  </si>
  <si>
    <t>P</t>
  </si>
  <si>
    <t>자체 제품 보드</t>
  </si>
  <si>
    <t>32M</t>
  </si>
  <si>
    <t>칩 안테나</t>
  </si>
  <si>
    <t>SDIO</t>
  </si>
  <si>
    <t>단종</t>
  </si>
  <si>
    <t>C</t>
  </si>
  <si>
    <t>N08</t>
  </si>
  <si>
    <t>안테나 스위치</t>
  </si>
  <si>
    <t>USB</t>
  </si>
  <si>
    <t>D</t>
  </si>
  <si>
    <t>고객 보드 (C 소진 후)</t>
  </si>
  <si>
    <t>N16</t>
  </si>
  <si>
    <t>52M</t>
  </si>
  <si>
    <t>해당 없음</t>
  </si>
  <si>
    <t>NONE</t>
  </si>
  <si>
    <t>T</t>
  </si>
  <si>
    <t>시험 지그·양산 검사 보드</t>
  </si>
  <si>
    <t>H02</t>
  </si>
  <si>
    <t>H04</t>
  </si>
  <si>
    <t>H08</t>
  </si>
  <si>
    <t>벤더 코드 (칩 코드 첫 글자)</t>
  </si>
  <si>
    <t>칩 코드 3자리 중 첫 글자. 영문 대문자 1자. 한 번 할당한 문자는 재사용하지 않는다.</t>
  </si>
  <si>
    <t>벤더 문자</t>
  </si>
  <si>
    <t>벤더</t>
  </si>
  <si>
    <t>비고</t>
  </si>
  <si>
    <t>검사
(자동)</t>
  </si>
  <si>
    <t>Espressif Systems</t>
  </si>
  <si>
    <t>ESP32 계열</t>
  </si>
  <si>
    <t>R</t>
  </si>
  <si>
    <t>Realtek</t>
  </si>
  <si>
    <t>제안값 — 채택 시 "사용"으로 변경</t>
  </si>
  <si>
    <t>B</t>
  </si>
  <si>
    <t>Beken</t>
  </si>
  <si>
    <t>제안값</t>
  </si>
  <si>
    <t>I</t>
  </si>
  <si>
    <t>Infineon (Cypress)</t>
  </si>
  <si>
    <t>N</t>
  </si>
  <si>
    <t>Nordic Semiconductor</t>
  </si>
  <si>
    <t>W</t>
  </si>
  <si>
    <t>WinnerMicro</t>
  </si>
  <si>
    <t>칩 코드 (CHIP, 3자리 = 벤더 1자 + 칩 2자)</t>
  </si>
  <si>
    <t>뒤 두 자리는 벤더별로 자유롭게 할당하되 칩을 떠올리기 쉬운 값을 쓴다 (ESP32-C3 → EC3). 벤더 문자는 벤더코드 시트에 먼저 등록한다.</t>
  </si>
  <si>
    <t>벤더
(자동)</t>
  </si>
  <si>
    <t>칩 (부품번호)</t>
  </si>
  <si>
    <t>지원 CLK</t>
  </si>
  <si>
    <t>SDK</t>
  </si>
  <si>
    <t>SDIO 슬레이브</t>
  </si>
  <si>
    <t>ESP32-C3</t>
  </si>
  <si>
    <t>ESP-IDF v5.x</t>
  </si>
  <si>
    <t>없음</t>
  </si>
  <si>
    <t>현행 표준모델, RISC-V</t>
  </si>
  <si>
    <t>ESP32-C2</t>
  </si>
  <si>
    <t>26M / 40M</t>
  </si>
  <si>
    <t>XTAL 26/40 MHz 보드 모두 존재</t>
  </si>
  <si>
    <t>EC6</t>
  </si>
  <si>
    <t>ESP32-C6</t>
  </si>
  <si>
    <t>있음</t>
  </si>
  <si>
    <t>ES3</t>
  </si>
  <si>
    <t>ESP32-S3</t>
  </si>
  <si>
    <t>Xtensa</t>
  </si>
  <si>
    <t>E32</t>
  </si>
  <si>
    <t>ESP32</t>
  </si>
  <si>
    <t>AT 명령 체계 코드 (CMD, 2자리, 기본값 MM = M2M-AT)</t>
  </si>
  <si>
    <t>펌웨어가 Host와 통신하는 AT 명령 체계. 파일명 FW 세그먼트 &lt;APP&gt;-&lt;CMD&gt;-&lt;IF&gt;의 가운데 필드 (예: AT-MM-UART). 공통 코드는 같고 빌드 설정으로 명령 파서를 고른다.</t>
  </si>
  <si>
    <t>CMD 코드</t>
  </si>
  <si>
    <t>명령 체계</t>
  </si>
  <si>
    <t>명령 형식</t>
  </si>
  <si>
    <t>규격 문서 (03_설계문서)</t>
  </si>
  <si>
    <t>사용 APP</t>
  </si>
  <si>
    <t>MM</t>
  </si>
  <si>
    <t>M2M-AT (자체, 기본값)</t>
  </si>
  <si>
    <t>AT*M2M*&lt;명령&gt;</t>
  </si>
  <si>
    <t>M2M-AT Command Set.docx</t>
  </si>
  <si>
    <t>AT</t>
  </si>
  <si>
    <t>기본값. 표준 배포(AC0)는 항상 MM</t>
  </si>
  <si>
    <t>IC</t>
  </si>
  <si>
    <t>ICT-AT 호환</t>
  </si>
  <si>
    <t>AT*ICT*&lt;명령&gt;</t>
  </si>
  <si>
    <t>ICT-AT Compatible Command Set - *.docx</t>
  </si>
  <si>
    <t>해당 Host 소프트웨어를 쓰는 고객용</t>
  </si>
  <si>
    <t>ES</t>
  </si>
  <si>
    <t>ESP-AT 명령 체계 호환</t>
  </si>
  <si>
    <t>ESP-AT 명령 이름 (CWMODE, CIPSTART 등)</t>
  </si>
  <si>
    <t>ESP-AT Compatible Command Set*.docx</t>
  </si>
  <si>
    <t>NA</t>
  </si>
  <si>
    <t>AT 명령 없음</t>
  </si>
  <si>
    <t>-</t>
  </si>
  <si>
    <t>NCP / APP</t>
  </si>
  <si>
    <t>단독 동작 APP, 바이너리 프로토콜 NCP 펌웨어</t>
  </si>
  <si>
    <t>고객 코드 (CUSTOMER 앞 2자리)</t>
  </si>
  <si>
    <t>AA~AZ 내부(표준 보드 기본값 포함), BA~YZ 고객사(BA부터 순서대로), ZA~ZZ 예비. 파일명에는 뒤에 REL 1자리(0 샘플/표준, 1 계약)를 붙인다.</t>
  </si>
  <si>
    <t>고객 코드</t>
  </si>
  <si>
    <t>대역
(자동)</t>
  </si>
  <si>
    <t>고객명 / 용도</t>
  </si>
  <si>
    <t>기본 CUSTOMER
(REL 포함)</t>
  </si>
  <si>
    <t>AA</t>
  </si>
  <si>
    <t>내부 개발·시험 공통 (칩 무관)</t>
  </si>
  <si>
    <t>AA0</t>
  </si>
  <si>
    <t>-dev / -beta 빌드</t>
  </si>
  <si>
    <t>AC</t>
  </si>
  <si>
    <t>ESP32-C3(EC3) 표준 보드 기본값 (Default)</t>
  </si>
  <si>
    <t>고객 지정 없는 표준 배포. Naming Guide 4.5.1절</t>
  </si>
  <si>
    <t>(예시) 고객사 A</t>
  </si>
  <si>
    <t>형식 예시 — 첫 고객 등록 시 덮어쓴다</t>
  </si>
  <si>
    <t>일자</t>
  </si>
  <si>
    <t>시트</t>
  </si>
  <si>
    <t>코드</t>
  </si>
  <si>
    <t>변경 내용</t>
  </si>
  <si>
    <t>작성자</t>
  </si>
  <si>
    <t>전체</t>
  </si>
  <si>
    <t>대장 신규 작성 (3자리 고정 코드 체계): 벤더 E, 칩 EC3/EC2/EC6/ES3/E32, 보드 MA0/MB0/MC0/MD0/EA1, 명령 체계 MM(기본)/IC/ES/NA, 고객 AA/AC</t>
  </si>
  <si>
    <t>보드코드</t>
  </si>
  <si>
    <t>AT UART / Log UART 핀 열 삭제 — 보드 핀맵은 보드별 빌드 설정(CONFIG)에서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</si>
</sst>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0"/>
      <color rgb="FFFFFFFF"/>
      <name val="D2Coding"/>
      <family val="3"/>
      <charset val="129"/>
    </font>
    <font>
      <sz val="10"/>
      <name val="D2Coding"/>
      <family val="3"/>
      <charset val="129"/>
    </font>
    <font>
      <sz val="10"/>
      <color rgb="FF595959"/>
      <name val="D2Coding"/>
      <family val="3"/>
      <charset val="129"/>
    </font>
    <font>
      <b/>
      <sz val="14"/>
      <name val="D2Coding"/>
      <family val="3"/>
      <charset val="129"/>
    </font>
    <font>
      <i/>
      <sz val="10"/>
      <color rgb="FF808080"/>
      <name val="D2Coding"/>
      <family val="3"/>
      <charset val="129"/>
    </font>
    <font>
      <b/>
      <sz val="10"/>
      <name val="D2Coding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3" fillId="0" borderId="0" xfId="0" applyFont="1"/>
    <xf numFmtId="0" fontId="2" fillId="0" borderId="1" xfId="0" applyFont="1" applyBorder="1"/>
    <xf numFmtId="0" fontId="3" fillId="0" borderId="0" xfId="0" applyFont="1" applyAlignment="1">
      <alignment vertical="center" wrapText="1"/>
    </xf>
    <xf numFmtId="0" fontId="0" fillId="0" borderId="0" xfId="0"/>
  </cellXfs>
  <cellStyles count="1">
    <cellStyle name="표준" xfId="0" builtinId="0"/>
  </cellStyles>
  <dxfs count="11"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ont>
        <strike/>
        <color rgb="FFA6A6A6"/>
        <name val="D2Coding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5" customWidth="1"/>
    <col min="2" max="2" width="9" customWidth="1"/>
    <col min="3" max="3" width="16" customWidth="1"/>
    <col min="4" max="5" width="9" customWidth="1"/>
    <col min="6" max="6" width="12" customWidth="1"/>
    <col min="7" max="7" width="30" customWidth="1"/>
    <col min="8" max="9" width="11" customWidth="1"/>
    <col min="10" max="11" width="7" customWidth="1"/>
    <col min="12" max="12" width="10" customWidth="1"/>
    <col min="13" max="13" width="9" customWidth="1"/>
    <col min="14" max="14" width="10" customWidth="1"/>
    <col min="15" max="15" width="11" customWidth="1"/>
    <col min="16" max="16" width="9" customWidth="1"/>
    <col min="17" max="17" width="40" customWidth="1"/>
    <col min="18" max="18" width="18" customWidth="1"/>
    <col min="19" max="19" width="56" customWidth="1"/>
    <col min="20" max="20" width="14" customWidth="1"/>
    <col min="21" max="21" width="16" customWidth="1"/>
  </cols>
  <sheetData>
    <row r="1" spans="1:21" ht="18.75" x14ac:dyDescent="0.3">
      <c r="A1" s="1" t="s">
        <v>0</v>
      </c>
    </row>
    <row r="2" spans="1:21" ht="30" customHeight="1" x14ac:dyDescent="0.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4" spans="1:21" ht="32.1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</row>
    <row r="5" spans="1:21" ht="25.5" x14ac:dyDescent="0.3">
      <c r="A5" s="3">
        <f t="shared" ref="A5:A36" si="0">IF(B5="","",ROW()-4)</f>
        <v>1</v>
      </c>
      <c r="B5" s="4" t="s">
        <v>23</v>
      </c>
      <c r="C5" s="5" t="str">
        <f>IF(B5="","",IFERROR(INDEX(코드목록!$C$2:$C$20,MATCH(LEFT(B5,1),코드목록!$B$2:$B$20,0)),"?"))</f>
        <v>벤더 표준 모듈</v>
      </c>
      <c r="D5" s="4" t="s">
        <v>24</v>
      </c>
      <c r="E5" s="4" t="s">
        <v>25</v>
      </c>
      <c r="F5" s="5" t="str">
        <f>IF(E5="","",IFERROR(INDEX(칩코드!$C$5:$C$60,MATCH(E5,칩코드!$A$5:$A$60,0)),"?"))</f>
        <v>ESP32-C3</v>
      </c>
      <c r="G5" s="6" t="s">
        <v>26</v>
      </c>
      <c r="H5" s="4"/>
      <c r="I5" s="4"/>
      <c r="J5" s="4" t="s">
        <v>27</v>
      </c>
      <c r="K5" s="4" t="s">
        <v>28</v>
      </c>
      <c r="L5" s="6" t="s">
        <v>29</v>
      </c>
      <c r="M5" s="6" t="s">
        <v>30</v>
      </c>
      <c r="N5" s="4" t="s">
        <v>31</v>
      </c>
      <c r="O5" s="6" t="s">
        <v>32</v>
      </c>
      <c r="P5" s="6"/>
      <c r="Q5" s="6" t="s">
        <v>33</v>
      </c>
      <c r="R5" s="5" t="str">
        <f t="shared" ref="R5:R36" si="1">IF(OR(B5="",E5="",J5="",K5=""),"",E5&amp;"-"&amp;B5&amp;"-"&amp;J5&amp;"-"&amp;K5)</f>
        <v>EC3-MA0-N04-40M</v>
      </c>
      <c r="S5" s="5" t="str">
        <f t="shared" ref="S5:S36" si="2">IF(R5="","","M2M_"&amp;R5&amp;"_AT-MM-"&amp;IF(M5="","UART",M5)&amp;"_V01.00_"&amp;IF(N5="","AC0",N5)&amp;"_0FN_YYMMDD.zip")</f>
        <v>M2M_EC3-MA0-N04-40M_AT-MM-UART_V01.00_AC0_0FN_YYMMDD.zip</v>
      </c>
      <c r="T5" s="3" t="str">
        <f>IF(B5="","",IF(LEN(B5)&lt;&gt;3,"3자리 아님",IF(SUMPRODUCT(--ISERROR(FIND(MID(B5,{1,2,3},1),"ABCDEFGHIJKLMNOPQRSTUVWXYZ0123456789")))&gt;0,"문자 오류",IF(COUNTIF(코드목록!$B$2:$B$20,LEFT(B5,1))=0,"구분 오류",IF(AND(LEFT(B5,1)="M",RIGHT(B5,1)&lt;&gt;"0"),"모듈 리비전은 0",IF(AND(LEFT(B5,1)&lt;&gt;"M",RIGHT(B5,1)="0"),"리비전은 1부터",IF(COUNTIF($B$5:$B$200,B5)&gt;1,"중복","OK")))))))</f>
        <v>OK</v>
      </c>
      <c r="U5" s="3" t="str">
        <f>IF(B5="","",IF(COUNTIF(칩코드!$A$5:$A$60,E5)=0,"칩 미등록",IF(AND(OR(LEFT(B5,1)="C",LEFT(B5,1)="D"),I5=""),"고객 코드 필요",IF(AND(I5&lt;&gt;"",COUNTIF(고객코드!$A$5:$A$200,I5)=0),"고객 미등록",IF(AND(N5&lt;&gt;"",COUNTIF(고객코드!$A$5:$A$200,LEFT(N5,2))=0),"기본값 미등록",IF(AND(H5&lt;&gt;"",COUNTIF($B$5:$B$200,H5)=0),"이전 코드 없음","OK"))))))</f>
        <v>OK</v>
      </c>
    </row>
    <row r="6" spans="1:21" x14ac:dyDescent="0.3">
      <c r="A6" s="3">
        <f t="shared" si="0"/>
        <v>2</v>
      </c>
      <c r="B6" s="4" t="s">
        <v>34</v>
      </c>
      <c r="C6" s="5" t="str">
        <f>IF(B6="","",IFERROR(INDEX(코드목록!$C$2:$C$20,MATCH(LEFT(B6,1),코드목록!$B$2:$B$20,0)),"?"))</f>
        <v>벤더 표준 모듈</v>
      </c>
      <c r="D6" s="4" t="s">
        <v>24</v>
      </c>
      <c r="E6" s="4" t="s">
        <v>25</v>
      </c>
      <c r="F6" s="5" t="str">
        <f>IF(E6="","",IFERROR(INDEX(칩코드!$C$5:$C$60,MATCH(E6,칩코드!$A$5:$A$60,0)),"?"))</f>
        <v>ESP32-C3</v>
      </c>
      <c r="G6" s="6" t="s">
        <v>35</v>
      </c>
      <c r="H6" s="4"/>
      <c r="I6" s="4"/>
      <c r="J6" s="4" t="s">
        <v>27</v>
      </c>
      <c r="K6" s="4" t="s">
        <v>28</v>
      </c>
      <c r="L6" s="6" t="s">
        <v>36</v>
      </c>
      <c r="M6" s="6" t="s">
        <v>30</v>
      </c>
      <c r="N6" s="4" t="s">
        <v>31</v>
      </c>
      <c r="O6" s="6" t="s">
        <v>32</v>
      </c>
      <c r="P6" s="6"/>
      <c r="Q6" s="6" t="s">
        <v>37</v>
      </c>
      <c r="R6" s="5" t="str">
        <f t="shared" si="1"/>
        <v>EC3-MB0-N04-40M</v>
      </c>
      <c r="S6" s="5" t="str">
        <f t="shared" si="2"/>
        <v>M2M_EC3-MB0-N04-40M_AT-MM-UART_V01.00_AC0_0FN_YYMMDD.zip</v>
      </c>
      <c r="T6" s="3" t="str">
        <f>IF(B6="","",IF(LEN(B6)&lt;&gt;3,"3자리 아님",IF(SUMPRODUCT(--ISERROR(FIND(MID(B6,{1,2,3},1),"ABCDEFGHIJKLMNOPQRSTUVWXYZ0123456789")))&gt;0,"문자 오류",IF(COUNTIF(코드목록!$B$2:$B$20,LEFT(B6,1))=0,"구분 오류",IF(AND(LEFT(B6,1)="M",RIGHT(B6,1)&lt;&gt;"0"),"모듈 리비전은 0",IF(AND(LEFT(B6,1)&lt;&gt;"M",RIGHT(B6,1)="0"),"리비전은 1부터",IF(COUNTIF($B$5:$B$200,B6)&gt;1,"중복","OK")))))))</f>
        <v>OK</v>
      </c>
      <c r="U6" s="3" t="str">
        <f>IF(B6="","",IF(COUNTIF(칩코드!$A$5:$A$60,E6)=0,"칩 미등록",IF(AND(OR(LEFT(B6,1)="C",LEFT(B6,1)="D"),I6=""),"고객 코드 필요",IF(AND(I6&lt;&gt;"",COUNTIF(고객코드!$A$5:$A$200,I6)=0),"고객 미등록",IF(AND(N6&lt;&gt;"",COUNTIF(고객코드!$A$5:$A$200,LEFT(N6,2))=0),"기본값 미등록",IF(AND(H6&lt;&gt;"",COUNTIF($B$5:$B$200,H6)=0),"이전 코드 없음","OK"))))))</f>
        <v>OK</v>
      </c>
    </row>
    <row r="7" spans="1:21" x14ac:dyDescent="0.3">
      <c r="A7" s="3">
        <f t="shared" si="0"/>
        <v>3</v>
      </c>
      <c r="B7" s="4" t="s">
        <v>38</v>
      </c>
      <c r="C7" s="5" t="str">
        <f>IF(B7="","",IFERROR(INDEX(코드목록!$C$2:$C$20,MATCH(LEFT(B7,1),코드목록!$B$2:$B$20,0)),"?"))</f>
        <v>벤더 표준 모듈</v>
      </c>
      <c r="D7" s="4" t="s">
        <v>39</v>
      </c>
      <c r="E7" s="4" t="s">
        <v>25</v>
      </c>
      <c r="F7" s="5" t="str">
        <f>IF(E7="","",IFERROR(INDEX(칩코드!$C$5:$C$60,MATCH(E7,칩코드!$A$5:$A$60,0)),"?"))</f>
        <v>ESP32-C3</v>
      </c>
      <c r="G7" s="6" t="s">
        <v>40</v>
      </c>
      <c r="H7" s="4"/>
      <c r="I7" s="4"/>
      <c r="J7" s="4" t="s">
        <v>27</v>
      </c>
      <c r="K7" s="4" t="s">
        <v>28</v>
      </c>
      <c r="L7" s="6" t="s">
        <v>29</v>
      </c>
      <c r="M7" s="6" t="s">
        <v>30</v>
      </c>
      <c r="N7" s="4" t="s">
        <v>31</v>
      </c>
      <c r="O7" s="6" t="s">
        <v>32</v>
      </c>
      <c r="P7" s="6"/>
      <c r="Q7" s="6"/>
      <c r="R7" s="5" t="str">
        <f t="shared" si="1"/>
        <v>EC3-MC0-N04-40M</v>
      </c>
      <c r="S7" s="5" t="str">
        <f t="shared" si="2"/>
        <v>M2M_EC3-MC0-N04-40M_AT-MM-UART_V01.00_AC0_0FN_YYMMDD.zip</v>
      </c>
      <c r="T7" s="3" t="str">
        <f>IF(B7="","",IF(LEN(B7)&lt;&gt;3,"3자리 아님",IF(SUMPRODUCT(--ISERROR(FIND(MID(B7,{1,2,3},1),"ABCDEFGHIJKLMNOPQRSTUVWXYZ0123456789")))&gt;0,"문자 오류",IF(COUNTIF(코드목록!$B$2:$B$20,LEFT(B7,1))=0,"구분 오류",IF(AND(LEFT(B7,1)="M",RIGHT(B7,1)&lt;&gt;"0"),"모듈 리비전은 0",IF(AND(LEFT(B7,1)&lt;&gt;"M",RIGHT(B7,1)="0"),"리비전은 1부터",IF(COUNTIF($B$5:$B$200,B7)&gt;1,"중복","OK")))))))</f>
        <v>OK</v>
      </c>
      <c r="U7" s="3" t="str">
        <f>IF(B7="","",IF(COUNTIF(칩코드!$A$5:$A$60,E7)=0,"칩 미등록",IF(AND(OR(LEFT(B7,1)="C",LEFT(B7,1)="D"),I7=""),"고객 코드 필요",IF(AND(I7&lt;&gt;"",COUNTIF(고객코드!$A$5:$A$200,I7)=0),"고객 미등록",IF(AND(N7&lt;&gt;"",COUNTIF(고객코드!$A$5:$A$200,LEFT(N7,2))=0),"기본값 미등록",IF(AND(H7&lt;&gt;"",COUNTIF($B$5:$B$200,H7)=0),"이전 코드 없음","OK"))))))</f>
        <v>OK</v>
      </c>
    </row>
    <row r="8" spans="1:21" x14ac:dyDescent="0.3">
      <c r="A8" s="3">
        <f t="shared" si="0"/>
        <v>4</v>
      </c>
      <c r="B8" s="4" t="s">
        <v>41</v>
      </c>
      <c r="C8" s="5" t="str">
        <f>IF(B8="","",IFERROR(INDEX(코드목록!$C$2:$C$20,MATCH(LEFT(B8,1),코드목록!$B$2:$B$20,0)),"?"))</f>
        <v>벤더 표준 모듈</v>
      </c>
      <c r="D8" s="4" t="s">
        <v>39</v>
      </c>
      <c r="E8" s="4" t="s">
        <v>25</v>
      </c>
      <c r="F8" s="5" t="str">
        <f>IF(E8="","",IFERROR(INDEX(칩코드!$C$5:$C$60,MATCH(E8,칩코드!$A$5:$A$60,0)),"?"))</f>
        <v>ESP32-C3</v>
      </c>
      <c r="G8" s="6" t="s">
        <v>42</v>
      </c>
      <c r="H8" s="4"/>
      <c r="I8" s="4"/>
      <c r="J8" s="4" t="s">
        <v>27</v>
      </c>
      <c r="K8" s="4" t="s">
        <v>28</v>
      </c>
      <c r="L8" s="6" t="s">
        <v>36</v>
      </c>
      <c r="M8" s="6" t="s">
        <v>30</v>
      </c>
      <c r="N8" s="4" t="s">
        <v>31</v>
      </c>
      <c r="O8" s="6" t="s">
        <v>32</v>
      </c>
      <c r="P8" s="6"/>
      <c r="Q8" s="6"/>
      <c r="R8" s="5" t="str">
        <f t="shared" si="1"/>
        <v>EC3-MD0-N04-40M</v>
      </c>
      <c r="S8" s="5" t="str">
        <f t="shared" si="2"/>
        <v>M2M_EC3-MD0-N04-40M_AT-MM-UART_V01.00_AC0_0FN_YYMMDD.zip</v>
      </c>
      <c r="T8" s="3" t="str">
        <f>IF(B8="","",IF(LEN(B8)&lt;&gt;3,"3자리 아님",IF(SUMPRODUCT(--ISERROR(FIND(MID(B8,{1,2,3},1),"ABCDEFGHIJKLMNOPQRSTUVWXYZ0123456789")))&gt;0,"문자 오류",IF(COUNTIF(코드목록!$B$2:$B$20,LEFT(B8,1))=0,"구분 오류",IF(AND(LEFT(B8,1)="M",RIGHT(B8,1)&lt;&gt;"0"),"모듈 리비전은 0",IF(AND(LEFT(B8,1)&lt;&gt;"M",RIGHT(B8,1)="0"),"리비전은 1부터",IF(COUNTIF($B$5:$B$200,B8)&gt;1,"중복","OK")))))))</f>
        <v>OK</v>
      </c>
      <c r="U8" s="3" t="str">
        <f>IF(B8="","",IF(COUNTIF(칩코드!$A$5:$A$60,E8)=0,"칩 미등록",IF(AND(OR(LEFT(B8,1)="C",LEFT(B8,1)="D"),I8=""),"고객 코드 필요",IF(AND(I8&lt;&gt;"",COUNTIF(고객코드!$A$5:$A$200,I8)=0),"고객 미등록",IF(AND(N8&lt;&gt;"",COUNTIF(고객코드!$A$5:$A$200,LEFT(N8,2))=0),"기본값 미등록",IF(AND(H8&lt;&gt;"",COUNTIF($B$5:$B$200,H8)=0),"이전 코드 없음","OK"))))))</f>
        <v>OK</v>
      </c>
    </row>
    <row r="9" spans="1:21" x14ac:dyDescent="0.3">
      <c r="A9" s="3">
        <f t="shared" si="0"/>
        <v>5</v>
      </c>
      <c r="B9" s="4" t="s">
        <v>43</v>
      </c>
      <c r="C9" s="5" t="str">
        <f>IF(B9="","",IFERROR(INDEX(코드목록!$C$2:$C$20,MATCH(LEFT(B9,1),코드목록!$B$2:$B$20,0)),"?"))</f>
        <v>자체 평가·개발 보드</v>
      </c>
      <c r="D9" s="4" t="s">
        <v>44</v>
      </c>
      <c r="E9" s="4" t="s">
        <v>25</v>
      </c>
      <c r="F9" s="5" t="str">
        <f>IF(E9="","",IFERROR(INDEX(칩코드!$C$5:$C$60,MATCH(E9,칩코드!$A$5:$A$60,0)),"?"))</f>
        <v>ESP32-C3</v>
      </c>
      <c r="G9" s="6" t="s">
        <v>45</v>
      </c>
      <c r="H9" s="4"/>
      <c r="I9" s="4"/>
      <c r="J9" s="4" t="s">
        <v>27</v>
      </c>
      <c r="K9" s="4" t="s">
        <v>28</v>
      </c>
      <c r="L9" s="6" t="s">
        <v>29</v>
      </c>
      <c r="M9" s="6" t="s">
        <v>30</v>
      </c>
      <c r="N9" s="4" t="s">
        <v>31</v>
      </c>
      <c r="O9" s="6" t="s">
        <v>32</v>
      </c>
      <c r="P9" s="6"/>
      <c r="Q9" s="6" t="s">
        <v>46</v>
      </c>
      <c r="R9" s="5" t="str">
        <f t="shared" si="1"/>
        <v>EC3-EA1-N04-40M</v>
      </c>
      <c r="S9" s="5" t="str">
        <f t="shared" si="2"/>
        <v>M2M_EC3-EA1-N04-40M_AT-MM-UART_V01.00_AC0_0FN_YYMMDD.zip</v>
      </c>
      <c r="T9" s="3" t="str">
        <f>IF(B9="","",IF(LEN(B9)&lt;&gt;3,"3자리 아님",IF(SUMPRODUCT(--ISERROR(FIND(MID(B9,{1,2,3},1),"ABCDEFGHIJKLMNOPQRSTUVWXYZ0123456789")))&gt;0,"문자 오류",IF(COUNTIF(코드목록!$B$2:$B$20,LEFT(B9,1))=0,"구분 오류",IF(AND(LEFT(B9,1)="M",RIGHT(B9,1)&lt;&gt;"0"),"모듈 리비전은 0",IF(AND(LEFT(B9,1)&lt;&gt;"M",RIGHT(B9,1)="0"),"리비전은 1부터",IF(COUNTIF($B$5:$B$200,B9)&gt;1,"중복","OK")))))))</f>
        <v>OK</v>
      </c>
      <c r="U9" s="3" t="str">
        <f>IF(B9="","",IF(COUNTIF(칩코드!$A$5:$A$60,E9)=0,"칩 미등록",IF(AND(OR(LEFT(B9,1)="C",LEFT(B9,1)="D"),I9=""),"고객 코드 필요",IF(AND(I9&lt;&gt;"",COUNTIF(고객코드!$A$5:$A$200,I9)=0),"고객 미등록",IF(AND(N9&lt;&gt;"",COUNTIF(고객코드!$A$5:$A$200,LEFT(N9,2))=0),"기본값 미등록",IF(AND(H9&lt;&gt;"",COUNTIF($B$5:$B$200,H9)=0),"이전 코드 없음","OK"))))))</f>
        <v>OK</v>
      </c>
    </row>
    <row r="10" spans="1:21" ht="25.5" x14ac:dyDescent="0.3">
      <c r="A10" s="7">
        <f t="shared" si="0"/>
        <v>6</v>
      </c>
      <c r="B10" s="8" t="s">
        <v>47</v>
      </c>
      <c r="C10" s="9" t="str">
        <f>IF(B10="","",IFERROR(INDEX(코드목록!$C$2:$C$20,MATCH(LEFT(B10,1),코드목록!$B$2:$B$20,0)),"?"))</f>
        <v>고객 보드</v>
      </c>
      <c r="D10" s="8" t="s">
        <v>48</v>
      </c>
      <c r="E10" s="8" t="s">
        <v>49</v>
      </c>
      <c r="F10" s="9" t="str">
        <f>IF(E10="","",IFERROR(INDEX(칩코드!$C$5:$C$60,MATCH(E10,칩코드!$A$5:$A$60,0)),"?"))</f>
        <v>ESP32-C2</v>
      </c>
      <c r="G10" s="10" t="s">
        <v>50</v>
      </c>
      <c r="H10" s="8"/>
      <c r="I10" s="8" t="s">
        <v>51</v>
      </c>
      <c r="J10" s="8" t="s">
        <v>52</v>
      </c>
      <c r="K10" s="8" t="s">
        <v>53</v>
      </c>
      <c r="L10" s="10" t="s">
        <v>29</v>
      </c>
      <c r="M10" s="10" t="s">
        <v>30</v>
      </c>
      <c r="N10" s="8" t="s">
        <v>54</v>
      </c>
      <c r="O10" s="10" t="s">
        <v>32</v>
      </c>
      <c r="P10" s="10"/>
      <c r="Q10" s="10" t="s">
        <v>55</v>
      </c>
      <c r="R10" s="9" t="str">
        <f t="shared" si="1"/>
        <v>EC2-CA1-N02-26M</v>
      </c>
      <c r="S10" s="9" t="str">
        <f t="shared" si="2"/>
        <v>M2M_EC2-CA1-N02-26M_AT-MM-UART_V01.00_BA1_0FN_YYMMDD.zip</v>
      </c>
      <c r="T10" s="7" t="str">
        <f>IF(B10="","",IF(LEN(B10)&lt;&gt;3,"3자리 아님",IF(SUMPRODUCT(--ISERROR(FIND(MID(B10,{1,2,3},1),"ABCDEFGHIJKLMNOPQRSTUVWXYZ0123456789")))&gt;0,"문자 오류",IF(COUNTIF(코드목록!$B$2:$B$20,LEFT(B10,1))=0,"구분 오류",IF(AND(LEFT(B10,1)="M",RIGHT(B10,1)&lt;&gt;"0"),"모듈 리비전은 0",IF(AND(LEFT(B10,1)&lt;&gt;"M",RIGHT(B10,1)="0"),"리비전은 1부터",IF(COUNTIF($B$5:$B$200,B10)&gt;1,"중복","OK")))))))</f>
        <v>OK</v>
      </c>
      <c r="U10" s="7" t="str">
        <f>IF(B10="","",IF(COUNTIF(칩코드!$A$5:$A$60,E10)=0,"칩 미등록",IF(AND(OR(LEFT(B10,1)="C",LEFT(B10,1)="D"),I10=""),"고객 코드 필요",IF(AND(I10&lt;&gt;"",COUNTIF(고객코드!$A$5:$A$200,I10)=0),"고객 미등록",IF(AND(N10&lt;&gt;"",COUNTIF(고객코드!$A$5:$A$200,LEFT(N10,2))=0),"기본값 미등록",IF(AND(H10&lt;&gt;"",COUNTIF($B$5:$B$200,H10)=0),"이전 코드 없음","OK"))))))</f>
        <v>OK</v>
      </c>
    </row>
    <row r="11" spans="1:21" x14ac:dyDescent="0.3">
      <c r="A11" s="3" t="str">
        <f t="shared" si="0"/>
        <v/>
      </c>
      <c r="B11" s="11"/>
      <c r="C11" s="5" t="str">
        <f>IF(B11="","",IFERROR(INDEX(코드목록!$C$2:$C$20,MATCH(LEFT(B11,1),코드목록!$B$2:$B$20,0)),"?"))</f>
        <v/>
      </c>
      <c r="D11" s="11"/>
      <c r="E11" s="11"/>
      <c r="F11" s="5" t="str">
        <f>IF(E11="","",IFERROR(INDEX(칩코드!$C$5:$C$60,MATCH(E11,칩코드!$A$5:$A$60,0)),"?"))</f>
        <v/>
      </c>
      <c r="G11" s="12"/>
      <c r="H11" s="11"/>
      <c r="I11" s="11"/>
      <c r="J11" s="11"/>
      <c r="K11" s="11"/>
      <c r="L11" s="12"/>
      <c r="M11" s="12"/>
      <c r="N11" s="11"/>
      <c r="O11" s="12"/>
      <c r="P11" s="12"/>
      <c r="Q11" s="12"/>
      <c r="R11" s="5" t="str">
        <f t="shared" si="1"/>
        <v/>
      </c>
      <c r="S11" s="5" t="str">
        <f t="shared" si="2"/>
        <v/>
      </c>
      <c r="T11" s="3" t="str">
        <f>IF(B11="","",IF(LEN(B11)&lt;&gt;3,"3자리 아님",IF(SUMPRODUCT(--ISERROR(FIND(MID(B11,{1,2,3},1),"ABCDEFGHIJKLMNOPQRSTUVWXYZ0123456789")))&gt;0,"문자 오류",IF(COUNTIF(코드목록!$B$2:$B$20,LEFT(B11,1))=0,"구분 오류",IF(AND(LEFT(B11,1)="M",RIGHT(B11,1)&lt;&gt;"0"),"모듈 리비전은 0",IF(AND(LEFT(B11,1)&lt;&gt;"M",RIGHT(B11,1)="0"),"리비전은 1부터",IF(COUNTIF($B$5:$B$200,B11)&gt;1,"중복","OK")))))))</f>
        <v/>
      </c>
      <c r="U11" s="3" t="str">
        <f>IF(B11="","",IF(COUNTIF(칩코드!$A$5:$A$60,E11)=0,"칩 미등록",IF(AND(OR(LEFT(B11,1)="C",LEFT(B11,1)="D"),I11=""),"고객 코드 필요",IF(AND(I11&lt;&gt;"",COUNTIF(고객코드!$A$5:$A$200,I11)=0),"고객 미등록",IF(AND(N11&lt;&gt;"",COUNTIF(고객코드!$A$5:$A$200,LEFT(N11,2))=0),"기본값 미등록",IF(AND(H11&lt;&gt;"",COUNTIF($B$5:$B$200,H11)=0),"이전 코드 없음","OK"))))))</f>
        <v/>
      </c>
    </row>
    <row r="12" spans="1:21" x14ac:dyDescent="0.3">
      <c r="A12" s="3" t="str">
        <f t="shared" si="0"/>
        <v/>
      </c>
      <c r="B12" s="11"/>
      <c r="C12" s="5" t="str">
        <f>IF(B12="","",IFERROR(INDEX(코드목록!$C$2:$C$20,MATCH(LEFT(B12,1),코드목록!$B$2:$B$20,0)),"?"))</f>
        <v/>
      </c>
      <c r="D12" s="11"/>
      <c r="E12" s="11"/>
      <c r="F12" s="5" t="str">
        <f>IF(E12="","",IFERROR(INDEX(칩코드!$C$5:$C$60,MATCH(E12,칩코드!$A$5:$A$60,0)),"?"))</f>
        <v/>
      </c>
      <c r="G12" s="12"/>
      <c r="H12" s="11"/>
      <c r="I12" s="11"/>
      <c r="J12" s="11"/>
      <c r="K12" s="11"/>
      <c r="L12" s="12"/>
      <c r="M12" s="12"/>
      <c r="N12" s="11"/>
      <c r="O12" s="12"/>
      <c r="P12" s="12"/>
      <c r="Q12" s="12"/>
      <c r="R12" s="5" t="str">
        <f t="shared" si="1"/>
        <v/>
      </c>
      <c r="S12" s="5" t="str">
        <f t="shared" si="2"/>
        <v/>
      </c>
      <c r="T12" s="3" t="str">
        <f>IF(B12="","",IF(LEN(B12)&lt;&gt;3,"3자리 아님",IF(SUMPRODUCT(--ISERROR(FIND(MID(B12,{1,2,3},1),"ABCDEFGHIJKLMNOPQRSTUVWXYZ0123456789")))&gt;0,"문자 오류",IF(COUNTIF(코드목록!$B$2:$B$20,LEFT(B12,1))=0,"구분 오류",IF(AND(LEFT(B12,1)="M",RIGHT(B12,1)&lt;&gt;"0"),"모듈 리비전은 0",IF(AND(LEFT(B12,1)&lt;&gt;"M",RIGHT(B12,1)="0"),"리비전은 1부터",IF(COUNTIF($B$5:$B$200,B12)&gt;1,"중복","OK")))))))</f>
        <v/>
      </c>
      <c r="U12" s="3" t="str">
        <f>IF(B12="","",IF(COUNTIF(칩코드!$A$5:$A$60,E12)=0,"칩 미등록",IF(AND(OR(LEFT(B12,1)="C",LEFT(B12,1)="D"),I12=""),"고객 코드 필요",IF(AND(I12&lt;&gt;"",COUNTIF(고객코드!$A$5:$A$200,I12)=0),"고객 미등록",IF(AND(N12&lt;&gt;"",COUNTIF(고객코드!$A$5:$A$200,LEFT(N12,2))=0),"기본값 미등록",IF(AND(H12&lt;&gt;"",COUNTIF($B$5:$B$200,H12)=0),"이전 코드 없음","OK"))))))</f>
        <v/>
      </c>
    </row>
    <row r="13" spans="1:21" x14ac:dyDescent="0.3">
      <c r="A13" s="3" t="str">
        <f t="shared" si="0"/>
        <v/>
      </c>
      <c r="B13" s="11"/>
      <c r="C13" s="5" t="str">
        <f>IF(B13="","",IFERROR(INDEX(코드목록!$C$2:$C$20,MATCH(LEFT(B13,1),코드목록!$B$2:$B$20,0)),"?"))</f>
        <v/>
      </c>
      <c r="D13" s="11"/>
      <c r="E13" s="11"/>
      <c r="F13" s="5" t="str">
        <f>IF(E13="","",IFERROR(INDEX(칩코드!$C$5:$C$60,MATCH(E13,칩코드!$A$5:$A$60,0)),"?"))</f>
        <v/>
      </c>
      <c r="G13" s="12"/>
      <c r="H13" s="11"/>
      <c r="I13" s="11"/>
      <c r="J13" s="11"/>
      <c r="K13" s="11"/>
      <c r="L13" s="12"/>
      <c r="M13" s="12"/>
      <c r="N13" s="11"/>
      <c r="O13" s="12"/>
      <c r="P13" s="12"/>
      <c r="Q13" s="12"/>
      <c r="R13" s="5" t="str">
        <f t="shared" si="1"/>
        <v/>
      </c>
      <c r="S13" s="5" t="str">
        <f t="shared" si="2"/>
        <v/>
      </c>
      <c r="T13" s="3" t="str">
        <f>IF(B13="","",IF(LEN(B13)&lt;&gt;3,"3자리 아님",IF(SUMPRODUCT(--ISERROR(FIND(MID(B13,{1,2,3},1),"ABCDEFGHIJKLMNOPQRSTUVWXYZ0123456789")))&gt;0,"문자 오류",IF(COUNTIF(코드목록!$B$2:$B$20,LEFT(B13,1))=0,"구분 오류",IF(AND(LEFT(B13,1)="M",RIGHT(B13,1)&lt;&gt;"0"),"모듈 리비전은 0",IF(AND(LEFT(B13,1)&lt;&gt;"M",RIGHT(B13,1)="0"),"리비전은 1부터",IF(COUNTIF($B$5:$B$200,B13)&gt;1,"중복","OK")))))))</f>
        <v/>
      </c>
      <c r="U13" s="3" t="str">
        <f>IF(B13="","",IF(COUNTIF(칩코드!$A$5:$A$60,E13)=0,"칩 미등록",IF(AND(OR(LEFT(B13,1)="C",LEFT(B13,1)="D"),I13=""),"고객 코드 필요",IF(AND(I13&lt;&gt;"",COUNTIF(고객코드!$A$5:$A$200,I13)=0),"고객 미등록",IF(AND(N13&lt;&gt;"",COUNTIF(고객코드!$A$5:$A$200,LEFT(N13,2))=0),"기본값 미등록",IF(AND(H13&lt;&gt;"",COUNTIF($B$5:$B$200,H13)=0),"이전 코드 없음","OK"))))))</f>
        <v/>
      </c>
    </row>
    <row r="14" spans="1:21" x14ac:dyDescent="0.3">
      <c r="A14" s="3" t="str">
        <f t="shared" si="0"/>
        <v/>
      </c>
      <c r="B14" s="11"/>
      <c r="C14" s="5" t="str">
        <f>IF(B14="","",IFERROR(INDEX(코드목록!$C$2:$C$20,MATCH(LEFT(B14,1),코드목록!$B$2:$B$20,0)),"?"))</f>
        <v/>
      </c>
      <c r="D14" s="11"/>
      <c r="E14" s="11"/>
      <c r="F14" s="5" t="str">
        <f>IF(E14="","",IFERROR(INDEX(칩코드!$C$5:$C$60,MATCH(E14,칩코드!$A$5:$A$60,0)),"?"))</f>
        <v/>
      </c>
      <c r="G14" s="12"/>
      <c r="H14" s="11"/>
      <c r="I14" s="11"/>
      <c r="J14" s="11"/>
      <c r="K14" s="11"/>
      <c r="L14" s="12"/>
      <c r="M14" s="12"/>
      <c r="N14" s="11"/>
      <c r="O14" s="12"/>
      <c r="P14" s="12"/>
      <c r="Q14" s="12"/>
      <c r="R14" s="5" t="str">
        <f t="shared" si="1"/>
        <v/>
      </c>
      <c r="S14" s="5" t="str">
        <f t="shared" si="2"/>
        <v/>
      </c>
      <c r="T14" s="3" t="str">
        <f>IF(B14="","",IF(LEN(B14)&lt;&gt;3,"3자리 아님",IF(SUMPRODUCT(--ISERROR(FIND(MID(B14,{1,2,3},1),"ABCDEFGHIJKLMNOPQRSTUVWXYZ0123456789")))&gt;0,"문자 오류",IF(COUNTIF(코드목록!$B$2:$B$20,LEFT(B14,1))=0,"구분 오류",IF(AND(LEFT(B14,1)="M",RIGHT(B14,1)&lt;&gt;"0"),"모듈 리비전은 0",IF(AND(LEFT(B14,1)&lt;&gt;"M",RIGHT(B14,1)="0"),"리비전은 1부터",IF(COUNTIF($B$5:$B$200,B14)&gt;1,"중복","OK")))))))</f>
        <v/>
      </c>
      <c r="U14" s="3" t="str">
        <f>IF(B14="","",IF(COUNTIF(칩코드!$A$5:$A$60,E14)=0,"칩 미등록",IF(AND(OR(LEFT(B14,1)="C",LEFT(B14,1)="D"),I14=""),"고객 코드 필요",IF(AND(I14&lt;&gt;"",COUNTIF(고객코드!$A$5:$A$200,I14)=0),"고객 미등록",IF(AND(N14&lt;&gt;"",COUNTIF(고객코드!$A$5:$A$200,LEFT(N14,2))=0),"기본값 미등록",IF(AND(H14&lt;&gt;"",COUNTIF($B$5:$B$200,H14)=0),"이전 코드 없음","OK"))))))</f>
        <v/>
      </c>
    </row>
    <row r="15" spans="1:21" x14ac:dyDescent="0.3">
      <c r="A15" s="3" t="str">
        <f t="shared" si="0"/>
        <v/>
      </c>
      <c r="B15" s="11"/>
      <c r="C15" s="5" t="str">
        <f>IF(B15="","",IFERROR(INDEX(코드목록!$C$2:$C$20,MATCH(LEFT(B15,1),코드목록!$B$2:$B$20,0)),"?"))</f>
        <v/>
      </c>
      <c r="D15" s="11"/>
      <c r="E15" s="11"/>
      <c r="F15" s="5" t="str">
        <f>IF(E15="","",IFERROR(INDEX(칩코드!$C$5:$C$60,MATCH(E15,칩코드!$A$5:$A$60,0)),"?"))</f>
        <v/>
      </c>
      <c r="G15" s="12"/>
      <c r="H15" s="11"/>
      <c r="I15" s="11"/>
      <c r="J15" s="11"/>
      <c r="K15" s="11"/>
      <c r="L15" s="12"/>
      <c r="M15" s="12"/>
      <c r="N15" s="11"/>
      <c r="O15" s="12"/>
      <c r="P15" s="12"/>
      <c r="Q15" s="12"/>
      <c r="R15" s="5" t="str">
        <f t="shared" si="1"/>
        <v/>
      </c>
      <c r="S15" s="5" t="str">
        <f t="shared" si="2"/>
        <v/>
      </c>
      <c r="T15" s="3" t="str">
        <f>IF(B15="","",IF(LEN(B15)&lt;&gt;3,"3자리 아님",IF(SUMPRODUCT(--ISERROR(FIND(MID(B15,{1,2,3},1),"ABCDEFGHIJKLMNOPQRSTUVWXYZ0123456789")))&gt;0,"문자 오류",IF(COUNTIF(코드목록!$B$2:$B$20,LEFT(B15,1))=0,"구분 오류",IF(AND(LEFT(B15,1)="M",RIGHT(B15,1)&lt;&gt;"0"),"모듈 리비전은 0",IF(AND(LEFT(B15,1)&lt;&gt;"M",RIGHT(B15,1)="0"),"리비전은 1부터",IF(COUNTIF($B$5:$B$200,B15)&gt;1,"중복","OK")))))))</f>
        <v/>
      </c>
      <c r="U15" s="3" t="str">
        <f>IF(B15="","",IF(COUNTIF(칩코드!$A$5:$A$60,E15)=0,"칩 미등록",IF(AND(OR(LEFT(B15,1)="C",LEFT(B15,1)="D"),I15=""),"고객 코드 필요",IF(AND(I15&lt;&gt;"",COUNTIF(고객코드!$A$5:$A$200,I15)=0),"고객 미등록",IF(AND(N15&lt;&gt;"",COUNTIF(고객코드!$A$5:$A$200,LEFT(N15,2))=0),"기본값 미등록",IF(AND(H15&lt;&gt;"",COUNTIF($B$5:$B$200,H15)=0),"이전 코드 없음","OK"))))))</f>
        <v/>
      </c>
    </row>
    <row r="16" spans="1:21" x14ac:dyDescent="0.3">
      <c r="A16" s="3" t="str">
        <f t="shared" si="0"/>
        <v/>
      </c>
      <c r="B16" s="11"/>
      <c r="C16" s="5" t="str">
        <f>IF(B16="","",IFERROR(INDEX(코드목록!$C$2:$C$20,MATCH(LEFT(B16,1),코드목록!$B$2:$B$20,0)),"?"))</f>
        <v/>
      </c>
      <c r="D16" s="11"/>
      <c r="E16" s="11"/>
      <c r="F16" s="5" t="str">
        <f>IF(E16="","",IFERROR(INDEX(칩코드!$C$5:$C$60,MATCH(E16,칩코드!$A$5:$A$60,0)),"?"))</f>
        <v/>
      </c>
      <c r="G16" s="12"/>
      <c r="H16" s="11"/>
      <c r="I16" s="11"/>
      <c r="J16" s="11"/>
      <c r="K16" s="11"/>
      <c r="L16" s="12"/>
      <c r="M16" s="12"/>
      <c r="N16" s="11"/>
      <c r="O16" s="12"/>
      <c r="P16" s="12"/>
      <c r="Q16" s="12"/>
      <c r="R16" s="5" t="str">
        <f t="shared" si="1"/>
        <v/>
      </c>
      <c r="S16" s="5" t="str">
        <f t="shared" si="2"/>
        <v/>
      </c>
      <c r="T16" s="3" t="str">
        <f>IF(B16="","",IF(LEN(B16)&lt;&gt;3,"3자리 아님",IF(SUMPRODUCT(--ISERROR(FIND(MID(B16,{1,2,3},1),"ABCDEFGHIJKLMNOPQRSTUVWXYZ0123456789")))&gt;0,"문자 오류",IF(COUNTIF(코드목록!$B$2:$B$20,LEFT(B16,1))=0,"구분 오류",IF(AND(LEFT(B16,1)="M",RIGHT(B16,1)&lt;&gt;"0"),"모듈 리비전은 0",IF(AND(LEFT(B16,1)&lt;&gt;"M",RIGHT(B16,1)="0"),"리비전은 1부터",IF(COUNTIF($B$5:$B$200,B16)&gt;1,"중복","OK")))))))</f>
        <v/>
      </c>
      <c r="U16" s="3" t="str">
        <f>IF(B16="","",IF(COUNTIF(칩코드!$A$5:$A$60,E16)=0,"칩 미등록",IF(AND(OR(LEFT(B16,1)="C",LEFT(B16,1)="D"),I16=""),"고객 코드 필요",IF(AND(I16&lt;&gt;"",COUNTIF(고객코드!$A$5:$A$200,I16)=0),"고객 미등록",IF(AND(N16&lt;&gt;"",COUNTIF(고객코드!$A$5:$A$200,LEFT(N16,2))=0),"기본값 미등록",IF(AND(H16&lt;&gt;"",COUNTIF($B$5:$B$200,H16)=0),"이전 코드 없음","OK"))))))</f>
        <v/>
      </c>
    </row>
    <row r="17" spans="1:21" x14ac:dyDescent="0.3">
      <c r="A17" s="3" t="str">
        <f t="shared" si="0"/>
        <v/>
      </c>
      <c r="B17" s="11"/>
      <c r="C17" s="5" t="str">
        <f>IF(B17="","",IFERROR(INDEX(코드목록!$C$2:$C$20,MATCH(LEFT(B17,1),코드목록!$B$2:$B$20,0)),"?"))</f>
        <v/>
      </c>
      <c r="D17" s="11"/>
      <c r="E17" s="11"/>
      <c r="F17" s="5" t="str">
        <f>IF(E17="","",IFERROR(INDEX(칩코드!$C$5:$C$60,MATCH(E17,칩코드!$A$5:$A$60,0)),"?"))</f>
        <v/>
      </c>
      <c r="G17" s="12"/>
      <c r="H17" s="11"/>
      <c r="I17" s="11"/>
      <c r="J17" s="11"/>
      <c r="K17" s="11"/>
      <c r="L17" s="12"/>
      <c r="M17" s="12"/>
      <c r="N17" s="11"/>
      <c r="O17" s="12"/>
      <c r="P17" s="12"/>
      <c r="Q17" s="12"/>
      <c r="R17" s="5" t="str">
        <f t="shared" si="1"/>
        <v/>
      </c>
      <c r="S17" s="5" t="str">
        <f t="shared" si="2"/>
        <v/>
      </c>
      <c r="T17" s="3" t="str">
        <f>IF(B17="","",IF(LEN(B17)&lt;&gt;3,"3자리 아님",IF(SUMPRODUCT(--ISERROR(FIND(MID(B17,{1,2,3},1),"ABCDEFGHIJKLMNOPQRSTUVWXYZ0123456789")))&gt;0,"문자 오류",IF(COUNTIF(코드목록!$B$2:$B$20,LEFT(B17,1))=0,"구분 오류",IF(AND(LEFT(B17,1)="M",RIGHT(B17,1)&lt;&gt;"0"),"모듈 리비전은 0",IF(AND(LEFT(B17,1)&lt;&gt;"M",RIGHT(B17,1)="0"),"리비전은 1부터",IF(COUNTIF($B$5:$B$200,B17)&gt;1,"중복","OK")))))))</f>
        <v/>
      </c>
      <c r="U17" s="3" t="str">
        <f>IF(B17="","",IF(COUNTIF(칩코드!$A$5:$A$60,E17)=0,"칩 미등록",IF(AND(OR(LEFT(B17,1)="C",LEFT(B17,1)="D"),I17=""),"고객 코드 필요",IF(AND(I17&lt;&gt;"",COUNTIF(고객코드!$A$5:$A$200,I17)=0),"고객 미등록",IF(AND(N17&lt;&gt;"",COUNTIF(고객코드!$A$5:$A$200,LEFT(N17,2))=0),"기본값 미등록",IF(AND(H17&lt;&gt;"",COUNTIF($B$5:$B$200,H17)=0),"이전 코드 없음","OK"))))))</f>
        <v/>
      </c>
    </row>
    <row r="18" spans="1:21" x14ac:dyDescent="0.3">
      <c r="A18" s="3" t="str">
        <f t="shared" si="0"/>
        <v/>
      </c>
      <c r="B18" s="11"/>
      <c r="C18" s="5" t="str">
        <f>IF(B18="","",IFERROR(INDEX(코드목록!$C$2:$C$20,MATCH(LEFT(B18,1),코드목록!$B$2:$B$20,0)),"?"))</f>
        <v/>
      </c>
      <c r="D18" s="11"/>
      <c r="E18" s="11"/>
      <c r="F18" s="5" t="str">
        <f>IF(E18="","",IFERROR(INDEX(칩코드!$C$5:$C$60,MATCH(E18,칩코드!$A$5:$A$60,0)),"?"))</f>
        <v/>
      </c>
      <c r="G18" s="12"/>
      <c r="H18" s="11"/>
      <c r="I18" s="11"/>
      <c r="J18" s="11"/>
      <c r="K18" s="11"/>
      <c r="L18" s="12"/>
      <c r="M18" s="12"/>
      <c r="N18" s="11"/>
      <c r="O18" s="12"/>
      <c r="P18" s="12"/>
      <c r="Q18" s="12"/>
      <c r="R18" s="5" t="str">
        <f t="shared" si="1"/>
        <v/>
      </c>
      <c r="S18" s="5" t="str">
        <f t="shared" si="2"/>
        <v/>
      </c>
      <c r="T18" s="3" t="str">
        <f>IF(B18="","",IF(LEN(B18)&lt;&gt;3,"3자리 아님",IF(SUMPRODUCT(--ISERROR(FIND(MID(B18,{1,2,3},1),"ABCDEFGHIJKLMNOPQRSTUVWXYZ0123456789")))&gt;0,"문자 오류",IF(COUNTIF(코드목록!$B$2:$B$20,LEFT(B18,1))=0,"구분 오류",IF(AND(LEFT(B18,1)="M",RIGHT(B18,1)&lt;&gt;"0"),"모듈 리비전은 0",IF(AND(LEFT(B18,1)&lt;&gt;"M",RIGHT(B18,1)="0"),"리비전은 1부터",IF(COUNTIF($B$5:$B$200,B18)&gt;1,"중복","OK")))))))</f>
        <v/>
      </c>
      <c r="U18" s="3" t="str">
        <f>IF(B18="","",IF(COUNTIF(칩코드!$A$5:$A$60,E18)=0,"칩 미등록",IF(AND(OR(LEFT(B18,1)="C",LEFT(B18,1)="D"),I18=""),"고객 코드 필요",IF(AND(I18&lt;&gt;"",COUNTIF(고객코드!$A$5:$A$200,I18)=0),"고객 미등록",IF(AND(N18&lt;&gt;"",COUNTIF(고객코드!$A$5:$A$200,LEFT(N18,2))=0),"기본값 미등록",IF(AND(H18&lt;&gt;"",COUNTIF($B$5:$B$200,H18)=0),"이전 코드 없음","OK"))))))</f>
        <v/>
      </c>
    </row>
    <row r="19" spans="1:21" x14ac:dyDescent="0.3">
      <c r="A19" s="3" t="str">
        <f t="shared" si="0"/>
        <v/>
      </c>
      <c r="B19" s="11"/>
      <c r="C19" s="5" t="str">
        <f>IF(B19="","",IFERROR(INDEX(코드목록!$C$2:$C$20,MATCH(LEFT(B19,1),코드목록!$B$2:$B$20,0)),"?"))</f>
        <v/>
      </c>
      <c r="D19" s="11"/>
      <c r="E19" s="11"/>
      <c r="F19" s="5" t="str">
        <f>IF(E19="","",IFERROR(INDEX(칩코드!$C$5:$C$60,MATCH(E19,칩코드!$A$5:$A$60,0)),"?"))</f>
        <v/>
      </c>
      <c r="G19" s="12"/>
      <c r="H19" s="11"/>
      <c r="I19" s="11"/>
      <c r="J19" s="11"/>
      <c r="K19" s="11"/>
      <c r="L19" s="12"/>
      <c r="M19" s="12"/>
      <c r="N19" s="11"/>
      <c r="O19" s="12"/>
      <c r="P19" s="12"/>
      <c r="Q19" s="12"/>
      <c r="R19" s="5" t="str">
        <f t="shared" si="1"/>
        <v/>
      </c>
      <c r="S19" s="5" t="str">
        <f t="shared" si="2"/>
        <v/>
      </c>
      <c r="T19" s="3" t="str">
        <f>IF(B19="","",IF(LEN(B19)&lt;&gt;3,"3자리 아님",IF(SUMPRODUCT(--ISERROR(FIND(MID(B19,{1,2,3},1),"ABCDEFGHIJKLMNOPQRSTUVWXYZ0123456789")))&gt;0,"문자 오류",IF(COUNTIF(코드목록!$B$2:$B$20,LEFT(B19,1))=0,"구분 오류",IF(AND(LEFT(B19,1)="M",RIGHT(B19,1)&lt;&gt;"0"),"모듈 리비전은 0",IF(AND(LEFT(B19,1)&lt;&gt;"M",RIGHT(B19,1)="0"),"리비전은 1부터",IF(COUNTIF($B$5:$B$200,B19)&gt;1,"중복","OK")))))))</f>
        <v/>
      </c>
      <c r="U19" s="3" t="str">
        <f>IF(B19="","",IF(COUNTIF(칩코드!$A$5:$A$60,E19)=0,"칩 미등록",IF(AND(OR(LEFT(B19,1)="C",LEFT(B19,1)="D"),I19=""),"고객 코드 필요",IF(AND(I19&lt;&gt;"",COUNTIF(고객코드!$A$5:$A$200,I19)=0),"고객 미등록",IF(AND(N19&lt;&gt;"",COUNTIF(고객코드!$A$5:$A$200,LEFT(N19,2))=0),"기본값 미등록",IF(AND(H19&lt;&gt;"",COUNTIF($B$5:$B$200,H19)=0),"이전 코드 없음","OK"))))))</f>
        <v/>
      </c>
    </row>
    <row r="20" spans="1:21" x14ac:dyDescent="0.3">
      <c r="A20" s="3" t="str">
        <f t="shared" si="0"/>
        <v/>
      </c>
      <c r="B20" s="11"/>
      <c r="C20" s="5" t="str">
        <f>IF(B20="","",IFERROR(INDEX(코드목록!$C$2:$C$20,MATCH(LEFT(B20,1),코드목록!$B$2:$B$20,0)),"?"))</f>
        <v/>
      </c>
      <c r="D20" s="11"/>
      <c r="E20" s="11"/>
      <c r="F20" s="5" t="str">
        <f>IF(E20="","",IFERROR(INDEX(칩코드!$C$5:$C$60,MATCH(E20,칩코드!$A$5:$A$60,0)),"?"))</f>
        <v/>
      </c>
      <c r="G20" s="12"/>
      <c r="H20" s="11"/>
      <c r="I20" s="11"/>
      <c r="J20" s="11"/>
      <c r="K20" s="11"/>
      <c r="L20" s="12"/>
      <c r="M20" s="12"/>
      <c r="N20" s="11"/>
      <c r="O20" s="12"/>
      <c r="P20" s="12"/>
      <c r="Q20" s="12"/>
      <c r="R20" s="5" t="str">
        <f t="shared" si="1"/>
        <v/>
      </c>
      <c r="S20" s="5" t="str">
        <f t="shared" si="2"/>
        <v/>
      </c>
      <c r="T20" s="3" t="str">
        <f>IF(B20="","",IF(LEN(B20)&lt;&gt;3,"3자리 아님",IF(SUMPRODUCT(--ISERROR(FIND(MID(B20,{1,2,3},1),"ABCDEFGHIJKLMNOPQRSTUVWXYZ0123456789")))&gt;0,"문자 오류",IF(COUNTIF(코드목록!$B$2:$B$20,LEFT(B20,1))=0,"구분 오류",IF(AND(LEFT(B20,1)="M",RIGHT(B20,1)&lt;&gt;"0"),"모듈 리비전은 0",IF(AND(LEFT(B20,1)&lt;&gt;"M",RIGHT(B20,1)="0"),"리비전은 1부터",IF(COUNTIF($B$5:$B$200,B20)&gt;1,"중복","OK")))))))</f>
        <v/>
      </c>
      <c r="U20" s="3" t="str">
        <f>IF(B20="","",IF(COUNTIF(칩코드!$A$5:$A$60,E20)=0,"칩 미등록",IF(AND(OR(LEFT(B20,1)="C",LEFT(B20,1)="D"),I20=""),"고객 코드 필요",IF(AND(I20&lt;&gt;"",COUNTIF(고객코드!$A$5:$A$200,I20)=0),"고객 미등록",IF(AND(N20&lt;&gt;"",COUNTIF(고객코드!$A$5:$A$200,LEFT(N20,2))=0),"기본값 미등록",IF(AND(H20&lt;&gt;"",COUNTIF($B$5:$B$200,H20)=0),"이전 코드 없음","OK"))))))</f>
        <v/>
      </c>
    </row>
    <row r="21" spans="1:21" x14ac:dyDescent="0.3">
      <c r="A21" s="3" t="str">
        <f t="shared" si="0"/>
        <v/>
      </c>
      <c r="B21" s="11"/>
      <c r="C21" s="5" t="str">
        <f>IF(B21="","",IFERROR(INDEX(코드목록!$C$2:$C$20,MATCH(LEFT(B21,1),코드목록!$B$2:$B$20,0)),"?"))</f>
        <v/>
      </c>
      <c r="D21" s="11"/>
      <c r="E21" s="11"/>
      <c r="F21" s="5" t="str">
        <f>IF(E21="","",IFERROR(INDEX(칩코드!$C$5:$C$60,MATCH(E21,칩코드!$A$5:$A$60,0)),"?"))</f>
        <v/>
      </c>
      <c r="G21" s="12"/>
      <c r="H21" s="11"/>
      <c r="I21" s="11"/>
      <c r="J21" s="11"/>
      <c r="K21" s="11"/>
      <c r="L21" s="12"/>
      <c r="M21" s="12"/>
      <c r="N21" s="11"/>
      <c r="O21" s="12"/>
      <c r="P21" s="12"/>
      <c r="Q21" s="12"/>
      <c r="R21" s="5" t="str">
        <f t="shared" si="1"/>
        <v/>
      </c>
      <c r="S21" s="5" t="str">
        <f t="shared" si="2"/>
        <v/>
      </c>
      <c r="T21" s="3" t="str">
        <f>IF(B21="","",IF(LEN(B21)&lt;&gt;3,"3자리 아님",IF(SUMPRODUCT(--ISERROR(FIND(MID(B21,{1,2,3},1),"ABCDEFGHIJKLMNOPQRSTUVWXYZ0123456789")))&gt;0,"문자 오류",IF(COUNTIF(코드목록!$B$2:$B$20,LEFT(B21,1))=0,"구분 오류",IF(AND(LEFT(B21,1)="M",RIGHT(B21,1)&lt;&gt;"0"),"모듈 리비전은 0",IF(AND(LEFT(B21,1)&lt;&gt;"M",RIGHT(B21,1)="0"),"리비전은 1부터",IF(COUNTIF($B$5:$B$200,B21)&gt;1,"중복","OK")))))))</f>
        <v/>
      </c>
      <c r="U21" s="3" t="str">
        <f>IF(B21="","",IF(COUNTIF(칩코드!$A$5:$A$60,E21)=0,"칩 미등록",IF(AND(OR(LEFT(B21,1)="C",LEFT(B21,1)="D"),I21=""),"고객 코드 필요",IF(AND(I21&lt;&gt;"",COUNTIF(고객코드!$A$5:$A$200,I21)=0),"고객 미등록",IF(AND(N21&lt;&gt;"",COUNTIF(고객코드!$A$5:$A$200,LEFT(N21,2))=0),"기본값 미등록",IF(AND(H21&lt;&gt;"",COUNTIF($B$5:$B$200,H21)=0),"이전 코드 없음","OK"))))))</f>
        <v/>
      </c>
    </row>
    <row r="22" spans="1:21" x14ac:dyDescent="0.3">
      <c r="A22" s="3" t="str">
        <f t="shared" si="0"/>
        <v/>
      </c>
      <c r="B22" s="11"/>
      <c r="C22" s="5" t="str">
        <f>IF(B22="","",IFERROR(INDEX(코드목록!$C$2:$C$20,MATCH(LEFT(B22,1),코드목록!$B$2:$B$20,0)),"?"))</f>
        <v/>
      </c>
      <c r="D22" s="11"/>
      <c r="E22" s="11"/>
      <c r="F22" s="5" t="str">
        <f>IF(E22="","",IFERROR(INDEX(칩코드!$C$5:$C$60,MATCH(E22,칩코드!$A$5:$A$60,0)),"?"))</f>
        <v/>
      </c>
      <c r="G22" s="12"/>
      <c r="H22" s="11"/>
      <c r="I22" s="11"/>
      <c r="J22" s="11"/>
      <c r="K22" s="11"/>
      <c r="L22" s="12"/>
      <c r="M22" s="12"/>
      <c r="N22" s="11"/>
      <c r="O22" s="12"/>
      <c r="P22" s="12"/>
      <c r="Q22" s="12"/>
      <c r="R22" s="5" t="str">
        <f t="shared" si="1"/>
        <v/>
      </c>
      <c r="S22" s="5" t="str">
        <f t="shared" si="2"/>
        <v/>
      </c>
      <c r="T22" s="3" t="str">
        <f>IF(B22="","",IF(LEN(B22)&lt;&gt;3,"3자리 아님",IF(SUMPRODUCT(--ISERROR(FIND(MID(B22,{1,2,3},1),"ABCDEFGHIJKLMNOPQRSTUVWXYZ0123456789")))&gt;0,"문자 오류",IF(COUNTIF(코드목록!$B$2:$B$20,LEFT(B22,1))=0,"구분 오류",IF(AND(LEFT(B22,1)="M",RIGHT(B22,1)&lt;&gt;"0"),"모듈 리비전은 0",IF(AND(LEFT(B22,1)&lt;&gt;"M",RIGHT(B22,1)="0"),"리비전은 1부터",IF(COUNTIF($B$5:$B$200,B22)&gt;1,"중복","OK")))))))</f>
        <v/>
      </c>
      <c r="U22" s="3" t="str">
        <f>IF(B22="","",IF(COUNTIF(칩코드!$A$5:$A$60,E22)=0,"칩 미등록",IF(AND(OR(LEFT(B22,1)="C",LEFT(B22,1)="D"),I22=""),"고객 코드 필요",IF(AND(I22&lt;&gt;"",COUNTIF(고객코드!$A$5:$A$200,I22)=0),"고객 미등록",IF(AND(N22&lt;&gt;"",COUNTIF(고객코드!$A$5:$A$200,LEFT(N22,2))=0),"기본값 미등록",IF(AND(H22&lt;&gt;"",COUNTIF($B$5:$B$200,H22)=0),"이전 코드 없음","OK"))))))</f>
        <v/>
      </c>
    </row>
    <row r="23" spans="1:21" x14ac:dyDescent="0.3">
      <c r="A23" s="3" t="str">
        <f t="shared" si="0"/>
        <v/>
      </c>
      <c r="B23" s="11"/>
      <c r="C23" s="5" t="str">
        <f>IF(B23="","",IFERROR(INDEX(코드목록!$C$2:$C$20,MATCH(LEFT(B23,1),코드목록!$B$2:$B$20,0)),"?"))</f>
        <v/>
      </c>
      <c r="D23" s="11"/>
      <c r="E23" s="11"/>
      <c r="F23" s="5" t="str">
        <f>IF(E23="","",IFERROR(INDEX(칩코드!$C$5:$C$60,MATCH(E23,칩코드!$A$5:$A$60,0)),"?"))</f>
        <v/>
      </c>
      <c r="G23" s="12"/>
      <c r="H23" s="11"/>
      <c r="I23" s="11"/>
      <c r="J23" s="11"/>
      <c r="K23" s="11"/>
      <c r="L23" s="12"/>
      <c r="M23" s="12"/>
      <c r="N23" s="11"/>
      <c r="O23" s="12"/>
      <c r="P23" s="12"/>
      <c r="Q23" s="12"/>
      <c r="R23" s="5" t="str">
        <f t="shared" si="1"/>
        <v/>
      </c>
      <c r="S23" s="5" t="str">
        <f t="shared" si="2"/>
        <v/>
      </c>
      <c r="T23" s="3" t="str">
        <f>IF(B23="","",IF(LEN(B23)&lt;&gt;3,"3자리 아님",IF(SUMPRODUCT(--ISERROR(FIND(MID(B23,{1,2,3},1),"ABCDEFGHIJKLMNOPQRSTUVWXYZ0123456789")))&gt;0,"문자 오류",IF(COUNTIF(코드목록!$B$2:$B$20,LEFT(B23,1))=0,"구분 오류",IF(AND(LEFT(B23,1)="M",RIGHT(B23,1)&lt;&gt;"0"),"모듈 리비전은 0",IF(AND(LEFT(B23,1)&lt;&gt;"M",RIGHT(B23,1)="0"),"리비전은 1부터",IF(COUNTIF($B$5:$B$200,B23)&gt;1,"중복","OK")))))))</f>
        <v/>
      </c>
      <c r="U23" s="3" t="str">
        <f>IF(B23="","",IF(COUNTIF(칩코드!$A$5:$A$60,E23)=0,"칩 미등록",IF(AND(OR(LEFT(B23,1)="C",LEFT(B23,1)="D"),I23=""),"고객 코드 필요",IF(AND(I23&lt;&gt;"",COUNTIF(고객코드!$A$5:$A$200,I23)=0),"고객 미등록",IF(AND(N23&lt;&gt;"",COUNTIF(고객코드!$A$5:$A$200,LEFT(N23,2))=0),"기본값 미등록",IF(AND(H23&lt;&gt;"",COUNTIF($B$5:$B$200,H23)=0),"이전 코드 없음","OK"))))))</f>
        <v/>
      </c>
    </row>
    <row r="24" spans="1:21" x14ac:dyDescent="0.3">
      <c r="A24" s="3" t="str">
        <f t="shared" si="0"/>
        <v/>
      </c>
      <c r="B24" s="11"/>
      <c r="C24" s="5" t="str">
        <f>IF(B24="","",IFERROR(INDEX(코드목록!$C$2:$C$20,MATCH(LEFT(B24,1),코드목록!$B$2:$B$20,0)),"?"))</f>
        <v/>
      </c>
      <c r="D24" s="11"/>
      <c r="E24" s="11"/>
      <c r="F24" s="5" t="str">
        <f>IF(E24="","",IFERROR(INDEX(칩코드!$C$5:$C$60,MATCH(E24,칩코드!$A$5:$A$60,0)),"?"))</f>
        <v/>
      </c>
      <c r="G24" s="12"/>
      <c r="H24" s="11"/>
      <c r="I24" s="11"/>
      <c r="J24" s="11"/>
      <c r="K24" s="11"/>
      <c r="L24" s="12"/>
      <c r="M24" s="12"/>
      <c r="N24" s="11"/>
      <c r="O24" s="12"/>
      <c r="P24" s="12"/>
      <c r="Q24" s="12"/>
      <c r="R24" s="5" t="str">
        <f t="shared" si="1"/>
        <v/>
      </c>
      <c r="S24" s="5" t="str">
        <f t="shared" si="2"/>
        <v/>
      </c>
      <c r="T24" s="3" t="str">
        <f>IF(B24="","",IF(LEN(B24)&lt;&gt;3,"3자리 아님",IF(SUMPRODUCT(--ISERROR(FIND(MID(B24,{1,2,3},1),"ABCDEFGHIJKLMNOPQRSTUVWXYZ0123456789")))&gt;0,"문자 오류",IF(COUNTIF(코드목록!$B$2:$B$20,LEFT(B24,1))=0,"구분 오류",IF(AND(LEFT(B24,1)="M",RIGHT(B24,1)&lt;&gt;"0"),"모듈 리비전은 0",IF(AND(LEFT(B24,1)&lt;&gt;"M",RIGHT(B24,1)="0"),"리비전은 1부터",IF(COUNTIF($B$5:$B$200,B24)&gt;1,"중복","OK")))))))</f>
        <v/>
      </c>
      <c r="U24" s="3" t="str">
        <f>IF(B24="","",IF(COUNTIF(칩코드!$A$5:$A$60,E24)=0,"칩 미등록",IF(AND(OR(LEFT(B24,1)="C",LEFT(B24,1)="D"),I24=""),"고객 코드 필요",IF(AND(I24&lt;&gt;"",COUNTIF(고객코드!$A$5:$A$200,I24)=0),"고객 미등록",IF(AND(N24&lt;&gt;"",COUNTIF(고객코드!$A$5:$A$200,LEFT(N24,2))=0),"기본값 미등록",IF(AND(H24&lt;&gt;"",COUNTIF($B$5:$B$200,H24)=0),"이전 코드 없음","OK"))))))</f>
        <v/>
      </c>
    </row>
    <row r="25" spans="1:21" x14ac:dyDescent="0.3">
      <c r="A25" s="3" t="str">
        <f t="shared" si="0"/>
        <v/>
      </c>
      <c r="B25" s="11"/>
      <c r="C25" s="5" t="str">
        <f>IF(B25="","",IFERROR(INDEX(코드목록!$C$2:$C$20,MATCH(LEFT(B25,1),코드목록!$B$2:$B$20,0)),"?"))</f>
        <v/>
      </c>
      <c r="D25" s="11"/>
      <c r="E25" s="11"/>
      <c r="F25" s="5" t="str">
        <f>IF(E25="","",IFERROR(INDEX(칩코드!$C$5:$C$60,MATCH(E25,칩코드!$A$5:$A$60,0)),"?"))</f>
        <v/>
      </c>
      <c r="G25" s="12"/>
      <c r="H25" s="11"/>
      <c r="I25" s="11"/>
      <c r="J25" s="11"/>
      <c r="K25" s="11"/>
      <c r="L25" s="12"/>
      <c r="M25" s="12"/>
      <c r="N25" s="11"/>
      <c r="O25" s="12"/>
      <c r="P25" s="12"/>
      <c r="Q25" s="12"/>
      <c r="R25" s="5" t="str">
        <f t="shared" si="1"/>
        <v/>
      </c>
      <c r="S25" s="5" t="str">
        <f t="shared" si="2"/>
        <v/>
      </c>
      <c r="T25" s="3" t="str">
        <f>IF(B25="","",IF(LEN(B25)&lt;&gt;3,"3자리 아님",IF(SUMPRODUCT(--ISERROR(FIND(MID(B25,{1,2,3},1),"ABCDEFGHIJKLMNOPQRSTUVWXYZ0123456789")))&gt;0,"문자 오류",IF(COUNTIF(코드목록!$B$2:$B$20,LEFT(B25,1))=0,"구분 오류",IF(AND(LEFT(B25,1)="M",RIGHT(B25,1)&lt;&gt;"0"),"모듈 리비전은 0",IF(AND(LEFT(B25,1)&lt;&gt;"M",RIGHT(B25,1)="0"),"리비전은 1부터",IF(COUNTIF($B$5:$B$200,B25)&gt;1,"중복","OK")))))))</f>
        <v/>
      </c>
      <c r="U25" s="3" t="str">
        <f>IF(B25="","",IF(COUNTIF(칩코드!$A$5:$A$60,E25)=0,"칩 미등록",IF(AND(OR(LEFT(B25,1)="C",LEFT(B25,1)="D"),I25=""),"고객 코드 필요",IF(AND(I25&lt;&gt;"",COUNTIF(고객코드!$A$5:$A$200,I25)=0),"고객 미등록",IF(AND(N25&lt;&gt;"",COUNTIF(고객코드!$A$5:$A$200,LEFT(N25,2))=0),"기본값 미등록",IF(AND(H25&lt;&gt;"",COUNTIF($B$5:$B$200,H25)=0),"이전 코드 없음","OK"))))))</f>
        <v/>
      </c>
    </row>
    <row r="26" spans="1:21" x14ac:dyDescent="0.3">
      <c r="A26" s="3" t="str">
        <f t="shared" si="0"/>
        <v/>
      </c>
      <c r="B26" s="11"/>
      <c r="C26" s="5" t="str">
        <f>IF(B26="","",IFERROR(INDEX(코드목록!$C$2:$C$20,MATCH(LEFT(B26,1),코드목록!$B$2:$B$20,0)),"?"))</f>
        <v/>
      </c>
      <c r="D26" s="11"/>
      <c r="E26" s="11"/>
      <c r="F26" s="5" t="str">
        <f>IF(E26="","",IFERROR(INDEX(칩코드!$C$5:$C$60,MATCH(E26,칩코드!$A$5:$A$60,0)),"?"))</f>
        <v/>
      </c>
      <c r="G26" s="12"/>
      <c r="H26" s="11"/>
      <c r="I26" s="11"/>
      <c r="J26" s="11"/>
      <c r="K26" s="11"/>
      <c r="L26" s="12"/>
      <c r="M26" s="12"/>
      <c r="N26" s="11"/>
      <c r="O26" s="12"/>
      <c r="P26" s="12"/>
      <c r="Q26" s="12"/>
      <c r="R26" s="5" t="str">
        <f t="shared" si="1"/>
        <v/>
      </c>
      <c r="S26" s="5" t="str">
        <f t="shared" si="2"/>
        <v/>
      </c>
      <c r="T26" s="3" t="str">
        <f>IF(B26="","",IF(LEN(B26)&lt;&gt;3,"3자리 아님",IF(SUMPRODUCT(--ISERROR(FIND(MID(B26,{1,2,3},1),"ABCDEFGHIJKLMNOPQRSTUVWXYZ0123456789")))&gt;0,"문자 오류",IF(COUNTIF(코드목록!$B$2:$B$20,LEFT(B26,1))=0,"구분 오류",IF(AND(LEFT(B26,1)="M",RIGHT(B26,1)&lt;&gt;"0"),"모듈 리비전은 0",IF(AND(LEFT(B26,1)&lt;&gt;"M",RIGHT(B26,1)="0"),"리비전은 1부터",IF(COUNTIF($B$5:$B$200,B26)&gt;1,"중복","OK")))))))</f>
        <v/>
      </c>
      <c r="U26" s="3" t="str">
        <f>IF(B26="","",IF(COUNTIF(칩코드!$A$5:$A$60,E26)=0,"칩 미등록",IF(AND(OR(LEFT(B26,1)="C",LEFT(B26,1)="D"),I26=""),"고객 코드 필요",IF(AND(I26&lt;&gt;"",COUNTIF(고객코드!$A$5:$A$200,I26)=0),"고객 미등록",IF(AND(N26&lt;&gt;"",COUNTIF(고객코드!$A$5:$A$200,LEFT(N26,2))=0),"기본값 미등록",IF(AND(H26&lt;&gt;"",COUNTIF($B$5:$B$200,H26)=0),"이전 코드 없음","OK"))))))</f>
        <v/>
      </c>
    </row>
    <row r="27" spans="1:21" x14ac:dyDescent="0.3">
      <c r="A27" s="3" t="str">
        <f t="shared" si="0"/>
        <v/>
      </c>
      <c r="B27" s="11"/>
      <c r="C27" s="5" t="str">
        <f>IF(B27="","",IFERROR(INDEX(코드목록!$C$2:$C$20,MATCH(LEFT(B27,1),코드목록!$B$2:$B$20,0)),"?"))</f>
        <v/>
      </c>
      <c r="D27" s="11"/>
      <c r="E27" s="11"/>
      <c r="F27" s="5" t="str">
        <f>IF(E27="","",IFERROR(INDEX(칩코드!$C$5:$C$60,MATCH(E27,칩코드!$A$5:$A$60,0)),"?"))</f>
        <v/>
      </c>
      <c r="G27" s="12"/>
      <c r="H27" s="11"/>
      <c r="I27" s="11"/>
      <c r="J27" s="11"/>
      <c r="K27" s="11"/>
      <c r="L27" s="12"/>
      <c r="M27" s="12"/>
      <c r="N27" s="11"/>
      <c r="O27" s="12"/>
      <c r="P27" s="12"/>
      <c r="Q27" s="12"/>
      <c r="R27" s="5" t="str">
        <f t="shared" si="1"/>
        <v/>
      </c>
      <c r="S27" s="5" t="str">
        <f t="shared" si="2"/>
        <v/>
      </c>
      <c r="T27" s="3" t="str">
        <f>IF(B27="","",IF(LEN(B27)&lt;&gt;3,"3자리 아님",IF(SUMPRODUCT(--ISERROR(FIND(MID(B27,{1,2,3},1),"ABCDEFGHIJKLMNOPQRSTUVWXYZ0123456789")))&gt;0,"문자 오류",IF(COUNTIF(코드목록!$B$2:$B$20,LEFT(B27,1))=0,"구분 오류",IF(AND(LEFT(B27,1)="M",RIGHT(B27,1)&lt;&gt;"0"),"모듈 리비전은 0",IF(AND(LEFT(B27,1)&lt;&gt;"M",RIGHT(B27,1)="0"),"리비전은 1부터",IF(COUNTIF($B$5:$B$200,B27)&gt;1,"중복","OK")))))))</f>
        <v/>
      </c>
      <c r="U27" s="3" t="str">
        <f>IF(B27="","",IF(COUNTIF(칩코드!$A$5:$A$60,E27)=0,"칩 미등록",IF(AND(OR(LEFT(B27,1)="C",LEFT(B27,1)="D"),I27=""),"고객 코드 필요",IF(AND(I27&lt;&gt;"",COUNTIF(고객코드!$A$5:$A$200,I27)=0),"고객 미등록",IF(AND(N27&lt;&gt;"",COUNTIF(고객코드!$A$5:$A$200,LEFT(N27,2))=0),"기본값 미등록",IF(AND(H27&lt;&gt;"",COUNTIF($B$5:$B$200,H27)=0),"이전 코드 없음","OK"))))))</f>
        <v/>
      </c>
    </row>
    <row r="28" spans="1:21" x14ac:dyDescent="0.3">
      <c r="A28" s="3" t="str">
        <f t="shared" si="0"/>
        <v/>
      </c>
      <c r="B28" s="11"/>
      <c r="C28" s="5" t="str">
        <f>IF(B28="","",IFERROR(INDEX(코드목록!$C$2:$C$20,MATCH(LEFT(B28,1),코드목록!$B$2:$B$20,0)),"?"))</f>
        <v/>
      </c>
      <c r="D28" s="11"/>
      <c r="E28" s="11"/>
      <c r="F28" s="5" t="str">
        <f>IF(E28="","",IFERROR(INDEX(칩코드!$C$5:$C$60,MATCH(E28,칩코드!$A$5:$A$60,0)),"?"))</f>
        <v/>
      </c>
      <c r="G28" s="12"/>
      <c r="H28" s="11"/>
      <c r="I28" s="11"/>
      <c r="J28" s="11"/>
      <c r="K28" s="11"/>
      <c r="L28" s="12"/>
      <c r="M28" s="12"/>
      <c r="N28" s="11"/>
      <c r="O28" s="12"/>
      <c r="P28" s="12"/>
      <c r="Q28" s="12"/>
      <c r="R28" s="5" t="str">
        <f t="shared" si="1"/>
        <v/>
      </c>
      <c r="S28" s="5" t="str">
        <f t="shared" si="2"/>
        <v/>
      </c>
      <c r="T28" s="3" t="str">
        <f>IF(B28="","",IF(LEN(B28)&lt;&gt;3,"3자리 아님",IF(SUMPRODUCT(--ISERROR(FIND(MID(B28,{1,2,3},1),"ABCDEFGHIJKLMNOPQRSTUVWXYZ0123456789")))&gt;0,"문자 오류",IF(COUNTIF(코드목록!$B$2:$B$20,LEFT(B28,1))=0,"구분 오류",IF(AND(LEFT(B28,1)="M",RIGHT(B28,1)&lt;&gt;"0"),"모듈 리비전은 0",IF(AND(LEFT(B28,1)&lt;&gt;"M",RIGHT(B28,1)="0"),"리비전은 1부터",IF(COUNTIF($B$5:$B$200,B28)&gt;1,"중복","OK")))))))</f>
        <v/>
      </c>
      <c r="U28" s="3" t="str">
        <f>IF(B28="","",IF(COUNTIF(칩코드!$A$5:$A$60,E28)=0,"칩 미등록",IF(AND(OR(LEFT(B28,1)="C",LEFT(B28,1)="D"),I28=""),"고객 코드 필요",IF(AND(I28&lt;&gt;"",COUNTIF(고객코드!$A$5:$A$200,I28)=0),"고객 미등록",IF(AND(N28&lt;&gt;"",COUNTIF(고객코드!$A$5:$A$200,LEFT(N28,2))=0),"기본값 미등록",IF(AND(H28&lt;&gt;"",COUNTIF($B$5:$B$200,H28)=0),"이전 코드 없음","OK"))))))</f>
        <v/>
      </c>
    </row>
    <row r="29" spans="1:21" x14ac:dyDescent="0.3">
      <c r="A29" s="3" t="str">
        <f t="shared" si="0"/>
        <v/>
      </c>
      <c r="B29" s="11"/>
      <c r="C29" s="5" t="str">
        <f>IF(B29="","",IFERROR(INDEX(코드목록!$C$2:$C$20,MATCH(LEFT(B29,1),코드목록!$B$2:$B$20,0)),"?"))</f>
        <v/>
      </c>
      <c r="D29" s="11"/>
      <c r="E29" s="11"/>
      <c r="F29" s="5" t="str">
        <f>IF(E29="","",IFERROR(INDEX(칩코드!$C$5:$C$60,MATCH(E29,칩코드!$A$5:$A$60,0)),"?"))</f>
        <v/>
      </c>
      <c r="G29" s="12"/>
      <c r="H29" s="11"/>
      <c r="I29" s="11"/>
      <c r="J29" s="11"/>
      <c r="K29" s="11"/>
      <c r="L29" s="12"/>
      <c r="M29" s="12"/>
      <c r="N29" s="11"/>
      <c r="O29" s="12"/>
      <c r="P29" s="12"/>
      <c r="Q29" s="12"/>
      <c r="R29" s="5" t="str">
        <f t="shared" si="1"/>
        <v/>
      </c>
      <c r="S29" s="5" t="str">
        <f t="shared" si="2"/>
        <v/>
      </c>
      <c r="T29" s="3" t="str">
        <f>IF(B29="","",IF(LEN(B29)&lt;&gt;3,"3자리 아님",IF(SUMPRODUCT(--ISERROR(FIND(MID(B29,{1,2,3},1),"ABCDEFGHIJKLMNOPQRSTUVWXYZ0123456789")))&gt;0,"문자 오류",IF(COUNTIF(코드목록!$B$2:$B$20,LEFT(B29,1))=0,"구분 오류",IF(AND(LEFT(B29,1)="M",RIGHT(B29,1)&lt;&gt;"0"),"모듈 리비전은 0",IF(AND(LEFT(B29,1)&lt;&gt;"M",RIGHT(B29,1)="0"),"리비전은 1부터",IF(COUNTIF($B$5:$B$200,B29)&gt;1,"중복","OK")))))))</f>
        <v/>
      </c>
      <c r="U29" s="3" t="str">
        <f>IF(B29="","",IF(COUNTIF(칩코드!$A$5:$A$60,E29)=0,"칩 미등록",IF(AND(OR(LEFT(B29,1)="C",LEFT(B29,1)="D"),I29=""),"고객 코드 필요",IF(AND(I29&lt;&gt;"",COUNTIF(고객코드!$A$5:$A$200,I29)=0),"고객 미등록",IF(AND(N29&lt;&gt;"",COUNTIF(고객코드!$A$5:$A$200,LEFT(N29,2))=0),"기본값 미등록",IF(AND(H29&lt;&gt;"",COUNTIF($B$5:$B$200,H29)=0),"이전 코드 없음","OK"))))))</f>
        <v/>
      </c>
    </row>
    <row r="30" spans="1:21" x14ac:dyDescent="0.3">
      <c r="A30" s="3" t="str">
        <f t="shared" si="0"/>
        <v/>
      </c>
      <c r="B30" s="11"/>
      <c r="C30" s="5" t="str">
        <f>IF(B30="","",IFERROR(INDEX(코드목록!$C$2:$C$20,MATCH(LEFT(B30,1),코드목록!$B$2:$B$20,0)),"?"))</f>
        <v/>
      </c>
      <c r="D30" s="11"/>
      <c r="E30" s="11"/>
      <c r="F30" s="5" t="str">
        <f>IF(E30="","",IFERROR(INDEX(칩코드!$C$5:$C$60,MATCH(E30,칩코드!$A$5:$A$60,0)),"?"))</f>
        <v/>
      </c>
      <c r="G30" s="12"/>
      <c r="H30" s="11"/>
      <c r="I30" s="11"/>
      <c r="J30" s="11"/>
      <c r="K30" s="11"/>
      <c r="L30" s="12"/>
      <c r="M30" s="12"/>
      <c r="N30" s="11"/>
      <c r="O30" s="12"/>
      <c r="P30" s="12"/>
      <c r="Q30" s="12"/>
      <c r="R30" s="5" t="str">
        <f t="shared" si="1"/>
        <v/>
      </c>
      <c r="S30" s="5" t="str">
        <f t="shared" si="2"/>
        <v/>
      </c>
      <c r="T30" s="3" t="str">
        <f>IF(B30="","",IF(LEN(B30)&lt;&gt;3,"3자리 아님",IF(SUMPRODUCT(--ISERROR(FIND(MID(B30,{1,2,3},1),"ABCDEFGHIJKLMNOPQRSTUVWXYZ0123456789")))&gt;0,"문자 오류",IF(COUNTIF(코드목록!$B$2:$B$20,LEFT(B30,1))=0,"구분 오류",IF(AND(LEFT(B30,1)="M",RIGHT(B30,1)&lt;&gt;"0"),"모듈 리비전은 0",IF(AND(LEFT(B30,1)&lt;&gt;"M",RIGHT(B30,1)="0"),"리비전은 1부터",IF(COUNTIF($B$5:$B$200,B30)&gt;1,"중복","OK")))))))</f>
        <v/>
      </c>
      <c r="U30" s="3" t="str">
        <f>IF(B30="","",IF(COUNTIF(칩코드!$A$5:$A$60,E30)=0,"칩 미등록",IF(AND(OR(LEFT(B30,1)="C",LEFT(B30,1)="D"),I30=""),"고객 코드 필요",IF(AND(I30&lt;&gt;"",COUNTIF(고객코드!$A$5:$A$200,I30)=0),"고객 미등록",IF(AND(N30&lt;&gt;"",COUNTIF(고객코드!$A$5:$A$200,LEFT(N30,2))=0),"기본값 미등록",IF(AND(H30&lt;&gt;"",COUNTIF($B$5:$B$200,H30)=0),"이전 코드 없음","OK"))))))</f>
        <v/>
      </c>
    </row>
    <row r="31" spans="1:21" x14ac:dyDescent="0.3">
      <c r="A31" s="3" t="str">
        <f t="shared" si="0"/>
        <v/>
      </c>
      <c r="B31" s="11"/>
      <c r="C31" s="5" t="str">
        <f>IF(B31="","",IFERROR(INDEX(코드목록!$C$2:$C$20,MATCH(LEFT(B31,1),코드목록!$B$2:$B$20,0)),"?"))</f>
        <v/>
      </c>
      <c r="D31" s="11"/>
      <c r="E31" s="11"/>
      <c r="F31" s="5" t="str">
        <f>IF(E31="","",IFERROR(INDEX(칩코드!$C$5:$C$60,MATCH(E31,칩코드!$A$5:$A$60,0)),"?"))</f>
        <v/>
      </c>
      <c r="G31" s="12"/>
      <c r="H31" s="11"/>
      <c r="I31" s="11"/>
      <c r="J31" s="11"/>
      <c r="K31" s="11"/>
      <c r="L31" s="12"/>
      <c r="M31" s="12"/>
      <c r="N31" s="11"/>
      <c r="O31" s="12"/>
      <c r="P31" s="12"/>
      <c r="Q31" s="12"/>
      <c r="R31" s="5" t="str">
        <f t="shared" si="1"/>
        <v/>
      </c>
      <c r="S31" s="5" t="str">
        <f t="shared" si="2"/>
        <v/>
      </c>
      <c r="T31" s="3" t="str">
        <f>IF(B31="","",IF(LEN(B31)&lt;&gt;3,"3자리 아님",IF(SUMPRODUCT(--ISERROR(FIND(MID(B31,{1,2,3},1),"ABCDEFGHIJKLMNOPQRSTUVWXYZ0123456789")))&gt;0,"문자 오류",IF(COUNTIF(코드목록!$B$2:$B$20,LEFT(B31,1))=0,"구분 오류",IF(AND(LEFT(B31,1)="M",RIGHT(B31,1)&lt;&gt;"0"),"모듈 리비전은 0",IF(AND(LEFT(B31,1)&lt;&gt;"M",RIGHT(B31,1)="0"),"리비전은 1부터",IF(COUNTIF($B$5:$B$200,B31)&gt;1,"중복","OK")))))))</f>
        <v/>
      </c>
      <c r="U31" s="3" t="str">
        <f>IF(B31="","",IF(COUNTIF(칩코드!$A$5:$A$60,E31)=0,"칩 미등록",IF(AND(OR(LEFT(B31,1)="C",LEFT(B31,1)="D"),I31=""),"고객 코드 필요",IF(AND(I31&lt;&gt;"",COUNTIF(고객코드!$A$5:$A$200,I31)=0),"고객 미등록",IF(AND(N31&lt;&gt;"",COUNTIF(고객코드!$A$5:$A$200,LEFT(N31,2))=0),"기본값 미등록",IF(AND(H31&lt;&gt;"",COUNTIF($B$5:$B$200,H31)=0),"이전 코드 없음","OK"))))))</f>
        <v/>
      </c>
    </row>
    <row r="32" spans="1:21" x14ac:dyDescent="0.3">
      <c r="A32" s="3" t="str">
        <f t="shared" si="0"/>
        <v/>
      </c>
      <c r="B32" s="11"/>
      <c r="C32" s="5" t="str">
        <f>IF(B32="","",IFERROR(INDEX(코드목록!$C$2:$C$20,MATCH(LEFT(B32,1),코드목록!$B$2:$B$20,0)),"?"))</f>
        <v/>
      </c>
      <c r="D32" s="11"/>
      <c r="E32" s="11"/>
      <c r="F32" s="5" t="str">
        <f>IF(E32="","",IFERROR(INDEX(칩코드!$C$5:$C$60,MATCH(E32,칩코드!$A$5:$A$60,0)),"?"))</f>
        <v/>
      </c>
      <c r="G32" s="12"/>
      <c r="H32" s="11"/>
      <c r="I32" s="11"/>
      <c r="J32" s="11"/>
      <c r="K32" s="11"/>
      <c r="L32" s="12"/>
      <c r="M32" s="12"/>
      <c r="N32" s="11"/>
      <c r="O32" s="12"/>
      <c r="P32" s="12"/>
      <c r="Q32" s="12"/>
      <c r="R32" s="5" t="str">
        <f t="shared" si="1"/>
        <v/>
      </c>
      <c r="S32" s="5" t="str">
        <f t="shared" si="2"/>
        <v/>
      </c>
      <c r="T32" s="3" t="str">
        <f>IF(B32="","",IF(LEN(B32)&lt;&gt;3,"3자리 아님",IF(SUMPRODUCT(--ISERROR(FIND(MID(B32,{1,2,3},1),"ABCDEFGHIJKLMNOPQRSTUVWXYZ0123456789")))&gt;0,"문자 오류",IF(COUNTIF(코드목록!$B$2:$B$20,LEFT(B32,1))=0,"구분 오류",IF(AND(LEFT(B32,1)="M",RIGHT(B32,1)&lt;&gt;"0"),"모듈 리비전은 0",IF(AND(LEFT(B32,1)&lt;&gt;"M",RIGHT(B32,1)="0"),"리비전은 1부터",IF(COUNTIF($B$5:$B$200,B32)&gt;1,"중복","OK")))))))</f>
        <v/>
      </c>
      <c r="U32" s="3" t="str">
        <f>IF(B32="","",IF(COUNTIF(칩코드!$A$5:$A$60,E32)=0,"칩 미등록",IF(AND(OR(LEFT(B32,1)="C",LEFT(B32,1)="D"),I32=""),"고객 코드 필요",IF(AND(I32&lt;&gt;"",COUNTIF(고객코드!$A$5:$A$200,I32)=0),"고객 미등록",IF(AND(N32&lt;&gt;"",COUNTIF(고객코드!$A$5:$A$200,LEFT(N32,2))=0),"기본값 미등록",IF(AND(H32&lt;&gt;"",COUNTIF($B$5:$B$200,H32)=0),"이전 코드 없음","OK"))))))</f>
        <v/>
      </c>
    </row>
    <row r="33" spans="1:21" x14ac:dyDescent="0.3">
      <c r="A33" s="3" t="str">
        <f t="shared" si="0"/>
        <v/>
      </c>
      <c r="B33" s="11"/>
      <c r="C33" s="5" t="str">
        <f>IF(B33="","",IFERROR(INDEX(코드목록!$C$2:$C$20,MATCH(LEFT(B33,1),코드목록!$B$2:$B$20,0)),"?"))</f>
        <v/>
      </c>
      <c r="D33" s="11"/>
      <c r="E33" s="11"/>
      <c r="F33" s="5" t="str">
        <f>IF(E33="","",IFERROR(INDEX(칩코드!$C$5:$C$60,MATCH(E33,칩코드!$A$5:$A$60,0)),"?"))</f>
        <v/>
      </c>
      <c r="G33" s="12"/>
      <c r="H33" s="11"/>
      <c r="I33" s="11"/>
      <c r="J33" s="11"/>
      <c r="K33" s="11"/>
      <c r="L33" s="12"/>
      <c r="M33" s="12"/>
      <c r="N33" s="11"/>
      <c r="O33" s="12"/>
      <c r="P33" s="12"/>
      <c r="Q33" s="12"/>
      <c r="R33" s="5" t="str">
        <f t="shared" si="1"/>
        <v/>
      </c>
      <c r="S33" s="5" t="str">
        <f t="shared" si="2"/>
        <v/>
      </c>
      <c r="T33" s="3" t="str">
        <f>IF(B33="","",IF(LEN(B33)&lt;&gt;3,"3자리 아님",IF(SUMPRODUCT(--ISERROR(FIND(MID(B33,{1,2,3},1),"ABCDEFGHIJKLMNOPQRSTUVWXYZ0123456789")))&gt;0,"문자 오류",IF(COUNTIF(코드목록!$B$2:$B$20,LEFT(B33,1))=0,"구분 오류",IF(AND(LEFT(B33,1)="M",RIGHT(B33,1)&lt;&gt;"0"),"모듈 리비전은 0",IF(AND(LEFT(B33,1)&lt;&gt;"M",RIGHT(B33,1)="0"),"리비전은 1부터",IF(COUNTIF($B$5:$B$200,B33)&gt;1,"중복","OK")))))))</f>
        <v/>
      </c>
      <c r="U33" s="3" t="str">
        <f>IF(B33="","",IF(COUNTIF(칩코드!$A$5:$A$60,E33)=0,"칩 미등록",IF(AND(OR(LEFT(B33,1)="C",LEFT(B33,1)="D"),I33=""),"고객 코드 필요",IF(AND(I33&lt;&gt;"",COUNTIF(고객코드!$A$5:$A$200,I33)=0),"고객 미등록",IF(AND(N33&lt;&gt;"",COUNTIF(고객코드!$A$5:$A$200,LEFT(N33,2))=0),"기본값 미등록",IF(AND(H33&lt;&gt;"",COUNTIF($B$5:$B$200,H33)=0),"이전 코드 없음","OK"))))))</f>
        <v/>
      </c>
    </row>
    <row r="34" spans="1:21" x14ac:dyDescent="0.3">
      <c r="A34" s="3" t="str">
        <f t="shared" si="0"/>
        <v/>
      </c>
      <c r="B34" s="11"/>
      <c r="C34" s="5" t="str">
        <f>IF(B34="","",IFERROR(INDEX(코드목록!$C$2:$C$20,MATCH(LEFT(B34,1),코드목록!$B$2:$B$20,0)),"?"))</f>
        <v/>
      </c>
      <c r="D34" s="11"/>
      <c r="E34" s="11"/>
      <c r="F34" s="5" t="str">
        <f>IF(E34="","",IFERROR(INDEX(칩코드!$C$5:$C$60,MATCH(E34,칩코드!$A$5:$A$60,0)),"?"))</f>
        <v/>
      </c>
      <c r="G34" s="12"/>
      <c r="H34" s="11"/>
      <c r="I34" s="11"/>
      <c r="J34" s="11"/>
      <c r="K34" s="11"/>
      <c r="L34" s="12"/>
      <c r="M34" s="12"/>
      <c r="N34" s="11"/>
      <c r="O34" s="12"/>
      <c r="P34" s="12"/>
      <c r="Q34" s="12"/>
      <c r="R34" s="5" t="str">
        <f t="shared" si="1"/>
        <v/>
      </c>
      <c r="S34" s="5" t="str">
        <f t="shared" si="2"/>
        <v/>
      </c>
      <c r="T34" s="3" t="str">
        <f>IF(B34="","",IF(LEN(B34)&lt;&gt;3,"3자리 아님",IF(SUMPRODUCT(--ISERROR(FIND(MID(B34,{1,2,3},1),"ABCDEFGHIJKLMNOPQRSTUVWXYZ0123456789")))&gt;0,"문자 오류",IF(COUNTIF(코드목록!$B$2:$B$20,LEFT(B34,1))=0,"구분 오류",IF(AND(LEFT(B34,1)="M",RIGHT(B34,1)&lt;&gt;"0"),"모듈 리비전은 0",IF(AND(LEFT(B34,1)&lt;&gt;"M",RIGHT(B34,1)="0"),"리비전은 1부터",IF(COUNTIF($B$5:$B$200,B34)&gt;1,"중복","OK")))))))</f>
        <v/>
      </c>
      <c r="U34" s="3" t="str">
        <f>IF(B34="","",IF(COUNTIF(칩코드!$A$5:$A$60,E34)=0,"칩 미등록",IF(AND(OR(LEFT(B34,1)="C",LEFT(B34,1)="D"),I34=""),"고객 코드 필요",IF(AND(I34&lt;&gt;"",COUNTIF(고객코드!$A$5:$A$200,I34)=0),"고객 미등록",IF(AND(N34&lt;&gt;"",COUNTIF(고객코드!$A$5:$A$200,LEFT(N34,2))=0),"기본값 미등록",IF(AND(H34&lt;&gt;"",COUNTIF($B$5:$B$200,H34)=0),"이전 코드 없음","OK"))))))</f>
        <v/>
      </c>
    </row>
    <row r="35" spans="1:21" x14ac:dyDescent="0.3">
      <c r="A35" s="3" t="str">
        <f t="shared" si="0"/>
        <v/>
      </c>
      <c r="B35" s="11"/>
      <c r="C35" s="5" t="str">
        <f>IF(B35="","",IFERROR(INDEX(코드목록!$C$2:$C$20,MATCH(LEFT(B35,1),코드목록!$B$2:$B$20,0)),"?"))</f>
        <v/>
      </c>
      <c r="D35" s="11"/>
      <c r="E35" s="11"/>
      <c r="F35" s="5" t="str">
        <f>IF(E35="","",IFERROR(INDEX(칩코드!$C$5:$C$60,MATCH(E35,칩코드!$A$5:$A$60,0)),"?"))</f>
        <v/>
      </c>
      <c r="G35" s="12"/>
      <c r="H35" s="11"/>
      <c r="I35" s="11"/>
      <c r="J35" s="11"/>
      <c r="K35" s="11"/>
      <c r="L35" s="12"/>
      <c r="M35" s="12"/>
      <c r="N35" s="11"/>
      <c r="O35" s="12"/>
      <c r="P35" s="12"/>
      <c r="Q35" s="12"/>
      <c r="R35" s="5" t="str">
        <f t="shared" si="1"/>
        <v/>
      </c>
      <c r="S35" s="5" t="str">
        <f t="shared" si="2"/>
        <v/>
      </c>
      <c r="T35" s="3" t="str">
        <f>IF(B35="","",IF(LEN(B35)&lt;&gt;3,"3자리 아님",IF(SUMPRODUCT(--ISERROR(FIND(MID(B35,{1,2,3},1),"ABCDEFGHIJKLMNOPQRSTUVWXYZ0123456789")))&gt;0,"문자 오류",IF(COUNTIF(코드목록!$B$2:$B$20,LEFT(B35,1))=0,"구분 오류",IF(AND(LEFT(B35,1)="M",RIGHT(B35,1)&lt;&gt;"0"),"모듈 리비전은 0",IF(AND(LEFT(B35,1)&lt;&gt;"M",RIGHT(B35,1)="0"),"리비전은 1부터",IF(COUNTIF($B$5:$B$200,B35)&gt;1,"중복","OK")))))))</f>
        <v/>
      </c>
      <c r="U35" s="3" t="str">
        <f>IF(B35="","",IF(COUNTIF(칩코드!$A$5:$A$60,E35)=0,"칩 미등록",IF(AND(OR(LEFT(B35,1)="C",LEFT(B35,1)="D"),I35=""),"고객 코드 필요",IF(AND(I35&lt;&gt;"",COUNTIF(고객코드!$A$5:$A$200,I35)=0),"고객 미등록",IF(AND(N35&lt;&gt;"",COUNTIF(고객코드!$A$5:$A$200,LEFT(N35,2))=0),"기본값 미등록",IF(AND(H35&lt;&gt;"",COUNTIF($B$5:$B$200,H35)=0),"이전 코드 없음","OK"))))))</f>
        <v/>
      </c>
    </row>
    <row r="36" spans="1:21" x14ac:dyDescent="0.3">
      <c r="A36" s="3" t="str">
        <f t="shared" si="0"/>
        <v/>
      </c>
      <c r="B36" s="11"/>
      <c r="C36" s="5" t="str">
        <f>IF(B36="","",IFERROR(INDEX(코드목록!$C$2:$C$20,MATCH(LEFT(B36,1),코드목록!$B$2:$B$20,0)),"?"))</f>
        <v/>
      </c>
      <c r="D36" s="11"/>
      <c r="E36" s="11"/>
      <c r="F36" s="5" t="str">
        <f>IF(E36="","",IFERROR(INDEX(칩코드!$C$5:$C$60,MATCH(E36,칩코드!$A$5:$A$60,0)),"?"))</f>
        <v/>
      </c>
      <c r="G36" s="12"/>
      <c r="H36" s="11"/>
      <c r="I36" s="11"/>
      <c r="J36" s="11"/>
      <c r="K36" s="11"/>
      <c r="L36" s="12"/>
      <c r="M36" s="12"/>
      <c r="N36" s="11"/>
      <c r="O36" s="12"/>
      <c r="P36" s="12"/>
      <c r="Q36" s="12"/>
      <c r="R36" s="5" t="str">
        <f t="shared" si="1"/>
        <v/>
      </c>
      <c r="S36" s="5" t="str">
        <f t="shared" si="2"/>
        <v/>
      </c>
      <c r="T36" s="3" t="str">
        <f>IF(B36="","",IF(LEN(B36)&lt;&gt;3,"3자리 아님",IF(SUMPRODUCT(--ISERROR(FIND(MID(B36,{1,2,3},1),"ABCDEFGHIJKLMNOPQRSTUVWXYZ0123456789")))&gt;0,"문자 오류",IF(COUNTIF(코드목록!$B$2:$B$20,LEFT(B36,1))=0,"구분 오류",IF(AND(LEFT(B36,1)="M",RIGHT(B36,1)&lt;&gt;"0"),"모듈 리비전은 0",IF(AND(LEFT(B36,1)&lt;&gt;"M",RIGHT(B36,1)="0"),"리비전은 1부터",IF(COUNTIF($B$5:$B$200,B36)&gt;1,"중복","OK")))))))</f>
        <v/>
      </c>
      <c r="U36" s="3" t="str">
        <f>IF(B36="","",IF(COUNTIF(칩코드!$A$5:$A$60,E36)=0,"칩 미등록",IF(AND(OR(LEFT(B36,1)="C",LEFT(B36,1)="D"),I36=""),"고객 코드 필요",IF(AND(I36&lt;&gt;"",COUNTIF(고객코드!$A$5:$A$200,I36)=0),"고객 미등록",IF(AND(N36&lt;&gt;"",COUNTIF(고객코드!$A$5:$A$200,LEFT(N36,2))=0),"기본값 미등록",IF(AND(H36&lt;&gt;"",COUNTIF($B$5:$B$200,H36)=0),"이전 코드 없음","OK"))))))</f>
        <v/>
      </c>
    </row>
    <row r="37" spans="1:21" x14ac:dyDescent="0.3">
      <c r="A37" s="3" t="str">
        <f t="shared" ref="A37:A68" si="3">IF(B37="","",ROW()-4)</f>
        <v/>
      </c>
      <c r="B37" s="11"/>
      <c r="C37" s="5" t="str">
        <f>IF(B37="","",IFERROR(INDEX(코드목록!$C$2:$C$20,MATCH(LEFT(B37,1),코드목록!$B$2:$B$20,0)),"?"))</f>
        <v/>
      </c>
      <c r="D37" s="11"/>
      <c r="E37" s="11"/>
      <c r="F37" s="5" t="str">
        <f>IF(E37="","",IFERROR(INDEX(칩코드!$C$5:$C$60,MATCH(E37,칩코드!$A$5:$A$60,0)),"?"))</f>
        <v/>
      </c>
      <c r="G37" s="12"/>
      <c r="H37" s="11"/>
      <c r="I37" s="11"/>
      <c r="J37" s="11"/>
      <c r="K37" s="11"/>
      <c r="L37" s="12"/>
      <c r="M37" s="12"/>
      <c r="N37" s="11"/>
      <c r="O37" s="12"/>
      <c r="P37" s="12"/>
      <c r="Q37" s="12"/>
      <c r="R37" s="5" t="str">
        <f t="shared" ref="R37:R68" si="4">IF(OR(B37="",E37="",J37="",K37=""),"",E37&amp;"-"&amp;B37&amp;"-"&amp;J37&amp;"-"&amp;K37)</f>
        <v/>
      </c>
      <c r="S37" s="5" t="str">
        <f t="shared" ref="S37:S68" si="5">IF(R37="","","M2M_"&amp;R37&amp;"_AT-MM-"&amp;IF(M37="","UART",M37)&amp;"_V01.00_"&amp;IF(N37="","AC0",N37)&amp;"_0FN_YYMMDD.zip")</f>
        <v/>
      </c>
      <c r="T37" s="3" t="str">
        <f>IF(B37="","",IF(LEN(B37)&lt;&gt;3,"3자리 아님",IF(SUMPRODUCT(--ISERROR(FIND(MID(B37,{1,2,3},1),"ABCDEFGHIJKLMNOPQRSTUVWXYZ0123456789")))&gt;0,"문자 오류",IF(COUNTIF(코드목록!$B$2:$B$20,LEFT(B37,1))=0,"구분 오류",IF(AND(LEFT(B37,1)="M",RIGHT(B37,1)&lt;&gt;"0"),"모듈 리비전은 0",IF(AND(LEFT(B37,1)&lt;&gt;"M",RIGHT(B37,1)="0"),"리비전은 1부터",IF(COUNTIF($B$5:$B$200,B37)&gt;1,"중복","OK")))))))</f>
        <v/>
      </c>
      <c r="U37" s="3" t="str">
        <f>IF(B37="","",IF(COUNTIF(칩코드!$A$5:$A$60,E37)=0,"칩 미등록",IF(AND(OR(LEFT(B37,1)="C",LEFT(B37,1)="D"),I37=""),"고객 코드 필요",IF(AND(I37&lt;&gt;"",COUNTIF(고객코드!$A$5:$A$200,I37)=0),"고객 미등록",IF(AND(N37&lt;&gt;"",COUNTIF(고객코드!$A$5:$A$200,LEFT(N37,2))=0),"기본값 미등록",IF(AND(H37&lt;&gt;"",COUNTIF($B$5:$B$200,H37)=0),"이전 코드 없음","OK"))))))</f>
        <v/>
      </c>
    </row>
    <row r="38" spans="1:21" x14ac:dyDescent="0.3">
      <c r="A38" s="3" t="str">
        <f t="shared" si="3"/>
        <v/>
      </c>
      <c r="B38" s="11"/>
      <c r="C38" s="5" t="str">
        <f>IF(B38="","",IFERROR(INDEX(코드목록!$C$2:$C$20,MATCH(LEFT(B38,1),코드목록!$B$2:$B$20,0)),"?"))</f>
        <v/>
      </c>
      <c r="D38" s="11"/>
      <c r="E38" s="11"/>
      <c r="F38" s="5" t="str">
        <f>IF(E38="","",IFERROR(INDEX(칩코드!$C$5:$C$60,MATCH(E38,칩코드!$A$5:$A$60,0)),"?"))</f>
        <v/>
      </c>
      <c r="G38" s="12"/>
      <c r="H38" s="11"/>
      <c r="I38" s="11"/>
      <c r="J38" s="11"/>
      <c r="K38" s="11"/>
      <c r="L38" s="12"/>
      <c r="M38" s="12"/>
      <c r="N38" s="11"/>
      <c r="O38" s="12"/>
      <c r="P38" s="12"/>
      <c r="Q38" s="12"/>
      <c r="R38" s="5" t="str">
        <f t="shared" si="4"/>
        <v/>
      </c>
      <c r="S38" s="5" t="str">
        <f t="shared" si="5"/>
        <v/>
      </c>
      <c r="T38" s="3" t="str">
        <f>IF(B38="","",IF(LEN(B38)&lt;&gt;3,"3자리 아님",IF(SUMPRODUCT(--ISERROR(FIND(MID(B38,{1,2,3},1),"ABCDEFGHIJKLMNOPQRSTUVWXYZ0123456789")))&gt;0,"문자 오류",IF(COUNTIF(코드목록!$B$2:$B$20,LEFT(B38,1))=0,"구분 오류",IF(AND(LEFT(B38,1)="M",RIGHT(B38,1)&lt;&gt;"0"),"모듈 리비전은 0",IF(AND(LEFT(B38,1)&lt;&gt;"M",RIGHT(B38,1)="0"),"리비전은 1부터",IF(COUNTIF($B$5:$B$200,B38)&gt;1,"중복","OK")))))))</f>
        <v/>
      </c>
      <c r="U38" s="3" t="str">
        <f>IF(B38="","",IF(COUNTIF(칩코드!$A$5:$A$60,E38)=0,"칩 미등록",IF(AND(OR(LEFT(B38,1)="C",LEFT(B38,1)="D"),I38=""),"고객 코드 필요",IF(AND(I38&lt;&gt;"",COUNTIF(고객코드!$A$5:$A$200,I38)=0),"고객 미등록",IF(AND(N38&lt;&gt;"",COUNTIF(고객코드!$A$5:$A$200,LEFT(N38,2))=0),"기본값 미등록",IF(AND(H38&lt;&gt;"",COUNTIF($B$5:$B$200,H38)=0),"이전 코드 없음","OK"))))))</f>
        <v/>
      </c>
    </row>
    <row r="39" spans="1:21" x14ac:dyDescent="0.3">
      <c r="A39" s="3" t="str">
        <f t="shared" si="3"/>
        <v/>
      </c>
      <c r="B39" s="11"/>
      <c r="C39" s="5" t="str">
        <f>IF(B39="","",IFERROR(INDEX(코드목록!$C$2:$C$20,MATCH(LEFT(B39,1),코드목록!$B$2:$B$20,0)),"?"))</f>
        <v/>
      </c>
      <c r="D39" s="11"/>
      <c r="E39" s="11"/>
      <c r="F39" s="5" t="str">
        <f>IF(E39="","",IFERROR(INDEX(칩코드!$C$5:$C$60,MATCH(E39,칩코드!$A$5:$A$60,0)),"?"))</f>
        <v/>
      </c>
      <c r="G39" s="12"/>
      <c r="H39" s="11"/>
      <c r="I39" s="11"/>
      <c r="J39" s="11"/>
      <c r="K39" s="11"/>
      <c r="L39" s="12"/>
      <c r="M39" s="12"/>
      <c r="N39" s="11"/>
      <c r="O39" s="12"/>
      <c r="P39" s="12"/>
      <c r="Q39" s="12"/>
      <c r="R39" s="5" t="str">
        <f t="shared" si="4"/>
        <v/>
      </c>
      <c r="S39" s="5" t="str">
        <f t="shared" si="5"/>
        <v/>
      </c>
      <c r="T39" s="3" t="str">
        <f>IF(B39="","",IF(LEN(B39)&lt;&gt;3,"3자리 아님",IF(SUMPRODUCT(--ISERROR(FIND(MID(B39,{1,2,3},1),"ABCDEFGHIJKLMNOPQRSTUVWXYZ0123456789")))&gt;0,"문자 오류",IF(COUNTIF(코드목록!$B$2:$B$20,LEFT(B39,1))=0,"구분 오류",IF(AND(LEFT(B39,1)="M",RIGHT(B39,1)&lt;&gt;"0"),"모듈 리비전은 0",IF(AND(LEFT(B39,1)&lt;&gt;"M",RIGHT(B39,1)="0"),"리비전은 1부터",IF(COUNTIF($B$5:$B$200,B39)&gt;1,"중복","OK")))))))</f>
        <v/>
      </c>
      <c r="U39" s="3" t="str">
        <f>IF(B39="","",IF(COUNTIF(칩코드!$A$5:$A$60,E39)=0,"칩 미등록",IF(AND(OR(LEFT(B39,1)="C",LEFT(B39,1)="D"),I39=""),"고객 코드 필요",IF(AND(I39&lt;&gt;"",COUNTIF(고객코드!$A$5:$A$200,I39)=0),"고객 미등록",IF(AND(N39&lt;&gt;"",COUNTIF(고객코드!$A$5:$A$200,LEFT(N39,2))=0),"기본값 미등록",IF(AND(H39&lt;&gt;"",COUNTIF($B$5:$B$200,H39)=0),"이전 코드 없음","OK"))))))</f>
        <v/>
      </c>
    </row>
    <row r="40" spans="1:21" x14ac:dyDescent="0.3">
      <c r="A40" s="3" t="str">
        <f t="shared" si="3"/>
        <v/>
      </c>
      <c r="B40" s="11"/>
      <c r="C40" s="5" t="str">
        <f>IF(B40="","",IFERROR(INDEX(코드목록!$C$2:$C$20,MATCH(LEFT(B40,1),코드목록!$B$2:$B$20,0)),"?"))</f>
        <v/>
      </c>
      <c r="D40" s="11"/>
      <c r="E40" s="11"/>
      <c r="F40" s="5" t="str">
        <f>IF(E40="","",IFERROR(INDEX(칩코드!$C$5:$C$60,MATCH(E40,칩코드!$A$5:$A$60,0)),"?"))</f>
        <v/>
      </c>
      <c r="G40" s="12"/>
      <c r="H40" s="11"/>
      <c r="I40" s="11"/>
      <c r="J40" s="11"/>
      <c r="K40" s="11"/>
      <c r="L40" s="12"/>
      <c r="M40" s="12"/>
      <c r="N40" s="11"/>
      <c r="O40" s="12"/>
      <c r="P40" s="12"/>
      <c r="Q40" s="12"/>
      <c r="R40" s="5" t="str">
        <f t="shared" si="4"/>
        <v/>
      </c>
      <c r="S40" s="5" t="str">
        <f t="shared" si="5"/>
        <v/>
      </c>
      <c r="T40" s="3" t="str">
        <f>IF(B40="","",IF(LEN(B40)&lt;&gt;3,"3자리 아님",IF(SUMPRODUCT(--ISERROR(FIND(MID(B40,{1,2,3},1),"ABCDEFGHIJKLMNOPQRSTUVWXYZ0123456789")))&gt;0,"문자 오류",IF(COUNTIF(코드목록!$B$2:$B$20,LEFT(B40,1))=0,"구분 오류",IF(AND(LEFT(B40,1)="M",RIGHT(B40,1)&lt;&gt;"0"),"모듈 리비전은 0",IF(AND(LEFT(B40,1)&lt;&gt;"M",RIGHT(B40,1)="0"),"리비전은 1부터",IF(COUNTIF($B$5:$B$200,B40)&gt;1,"중복","OK")))))))</f>
        <v/>
      </c>
      <c r="U40" s="3" t="str">
        <f>IF(B40="","",IF(COUNTIF(칩코드!$A$5:$A$60,E40)=0,"칩 미등록",IF(AND(OR(LEFT(B40,1)="C",LEFT(B40,1)="D"),I40=""),"고객 코드 필요",IF(AND(I40&lt;&gt;"",COUNTIF(고객코드!$A$5:$A$200,I40)=0),"고객 미등록",IF(AND(N40&lt;&gt;"",COUNTIF(고객코드!$A$5:$A$200,LEFT(N40,2))=0),"기본값 미등록",IF(AND(H40&lt;&gt;"",COUNTIF($B$5:$B$200,H40)=0),"이전 코드 없음","OK"))))))</f>
        <v/>
      </c>
    </row>
    <row r="41" spans="1:21" x14ac:dyDescent="0.3">
      <c r="A41" s="3" t="str">
        <f t="shared" si="3"/>
        <v/>
      </c>
      <c r="B41" s="11"/>
      <c r="C41" s="5" t="str">
        <f>IF(B41="","",IFERROR(INDEX(코드목록!$C$2:$C$20,MATCH(LEFT(B41,1),코드목록!$B$2:$B$20,0)),"?"))</f>
        <v/>
      </c>
      <c r="D41" s="11"/>
      <c r="E41" s="11"/>
      <c r="F41" s="5" t="str">
        <f>IF(E41="","",IFERROR(INDEX(칩코드!$C$5:$C$60,MATCH(E41,칩코드!$A$5:$A$60,0)),"?"))</f>
        <v/>
      </c>
      <c r="G41" s="12"/>
      <c r="H41" s="11"/>
      <c r="I41" s="11"/>
      <c r="J41" s="11"/>
      <c r="K41" s="11"/>
      <c r="L41" s="12"/>
      <c r="M41" s="12"/>
      <c r="N41" s="11"/>
      <c r="O41" s="12"/>
      <c r="P41" s="12"/>
      <c r="Q41" s="12"/>
      <c r="R41" s="5" t="str">
        <f t="shared" si="4"/>
        <v/>
      </c>
      <c r="S41" s="5" t="str">
        <f t="shared" si="5"/>
        <v/>
      </c>
      <c r="T41" s="3" t="str">
        <f>IF(B41="","",IF(LEN(B41)&lt;&gt;3,"3자리 아님",IF(SUMPRODUCT(--ISERROR(FIND(MID(B41,{1,2,3},1),"ABCDEFGHIJKLMNOPQRSTUVWXYZ0123456789")))&gt;0,"문자 오류",IF(COUNTIF(코드목록!$B$2:$B$20,LEFT(B41,1))=0,"구분 오류",IF(AND(LEFT(B41,1)="M",RIGHT(B41,1)&lt;&gt;"0"),"모듈 리비전은 0",IF(AND(LEFT(B41,1)&lt;&gt;"M",RIGHT(B41,1)="0"),"리비전은 1부터",IF(COUNTIF($B$5:$B$200,B41)&gt;1,"중복","OK")))))))</f>
        <v/>
      </c>
      <c r="U41" s="3" t="str">
        <f>IF(B41="","",IF(COUNTIF(칩코드!$A$5:$A$60,E41)=0,"칩 미등록",IF(AND(OR(LEFT(B41,1)="C",LEFT(B41,1)="D"),I41=""),"고객 코드 필요",IF(AND(I41&lt;&gt;"",COUNTIF(고객코드!$A$5:$A$200,I41)=0),"고객 미등록",IF(AND(N41&lt;&gt;"",COUNTIF(고객코드!$A$5:$A$200,LEFT(N41,2))=0),"기본값 미등록",IF(AND(H41&lt;&gt;"",COUNTIF($B$5:$B$200,H41)=0),"이전 코드 없음","OK"))))))</f>
        <v/>
      </c>
    </row>
    <row r="42" spans="1:21" x14ac:dyDescent="0.3">
      <c r="A42" s="3" t="str">
        <f t="shared" si="3"/>
        <v/>
      </c>
      <c r="B42" s="11"/>
      <c r="C42" s="5" t="str">
        <f>IF(B42="","",IFERROR(INDEX(코드목록!$C$2:$C$20,MATCH(LEFT(B42,1),코드목록!$B$2:$B$20,0)),"?"))</f>
        <v/>
      </c>
      <c r="D42" s="11"/>
      <c r="E42" s="11"/>
      <c r="F42" s="5" t="str">
        <f>IF(E42="","",IFERROR(INDEX(칩코드!$C$5:$C$60,MATCH(E42,칩코드!$A$5:$A$60,0)),"?"))</f>
        <v/>
      </c>
      <c r="G42" s="12"/>
      <c r="H42" s="11"/>
      <c r="I42" s="11"/>
      <c r="J42" s="11"/>
      <c r="K42" s="11"/>
      <c r="L42" s="12"/>
      <c r="M42" s="12"/>
      <c r="N42" s="11"/>
      <c r="O42" s="12"/>
      <c r="P42" s="12"/>
      <c r="Q42" s="12"/>
      <c r="R42" s="5" t="str">
        <f t="shared" si="4"/>
        <v/>
      </c>
      <c r="S42" s="5" t="str">
        <f t="shared" si="5"/>
        <v/>
      </c>
      <c r="T42" s="3" t="str">
        <f>IF(B42="","",IF(LEN(B42)&lt;&gt;3,"3자리 아님",IF(SUMPRODUCT(--ISERROR(FIND(MID(B42,{1,2,3},1),"ABCDEFGHIJKLMNOPQRSTUVWXYZ0123456789")))&gt;0,"문자 오류",IF(COUNTIF(코드목록!$B$2:$B$20,LEFT(B42,1))=0,"구분 오류",IF(AND(LEFT(B42,1)="M",RIGHT(B42,1)&lt;&gt;"0"),"모듈 리비전은 0",IF(AND(LEFT(B42,1)&lt;&gt;"M",RIGHT(B42,1)="0"),"리비전은 1부터",IF(COUNTIF($B$5:$B$200,B42)&gt;1,"중복","OK")))))))</f>
        <v/>
      </c>
      <c r="U42" s="3" t="str">
        <f>IF(B42="","",IF(COUNTIF(칩코드!$A$5:$A$60,E42)=0,"칩 미등록",IF(AND(OR(LEFT(B42,1)="C",LEFT(B42,1)="D"),I42=""),"고객 코드 필요",IF(AND(I42&lt;&gt;"",COUNTIF(고객코드!$A$5:$A$200,I42)=0),"고객 미등록",IF(AND(N42&lt;&gt;"",COUNTIF(고객코드!$A$5:$A$200,LEFT(N42,2))=0),"기본값 미등록",IF(AND(H42&lt;&gt;"",COUNTIF($B$5:$B$200,H42)=0),"이전 코드 없음","OK"))))))</f>
        <v/>
      </c>
    </row>
    <row r="43" spans="1:21" x14ac:dyDescent="0.3">
      <c r="A43" s="3" t="str">
        <f t="shared" si="3"/>
        <v/>
      </c>
      <c r="B43" s="11"/>
      <c r="C43" s="5" t="str">
        <f>IF(B43="","",IFERROR(INDEX(코드목록!$C$2:$C$20,MATCH(LEFT(B43,1),코드목록!$B$2:$B$20,0)),"?"))</f>
        <v/>
      </c>
      <c r="D43" s="11"/>
      <c r="E43" s="11"/>
      <c r="F43" s="5" t="str">
        <f>IF(E43="","",IFERROR(INDEX(칩코드!$C$5:$C$60,MATCH(E43,칩코드!$A$5:$A$60,0)),"?"))</f>
        <v/>
      </c>
      <c r="G43" s="12"/>
      <c r="H43" s="11"/>
      <c r="I43" s="11"/>
      <c r="J43" s="11"/>
      <c r="K43" s="11"/>
      <c r="L43" s="12"/>
      <c r="M43" s="12"/>
      <c r="N43" s="11"/>
      <c r="O43" s="12"/>
      <c r="P43" s="12"/>
      <c r="Q43" s="12"/>
      <c r="R43" s="5" t="str">
        <f t="shared" si="4"/>
        <v/>
      </c>
      <c r="S43" s="5" t="str">
        <f t="shared" si="5"/>
        <v/>
      </c>
      <c r="T43" s="3" t="str">
        <f>IF(B43="","",IF(LEN(B43)&lt;&gt;3,"3자리 아님",IF(SUMPRODUCT(--ISERROR(FIND(MID(B43,{1,2,3},1),"ABCDEFGHIJKLMNOPQRSTUVWXYZ0123456789")))&gt;0,"문자 오류",IF(COUNTIF(코드목록!$B$2:$B$20,LEFT(B43,1))=0,"구분 오류",IF(AND(LEFT(B43,1)="M",RIGHT(B43,1)&lt;&gt;"0"),"모듈 리비전은 0",IF(AND(LEFT(B43,1)&lt;&gt;"M",RIGHT(B43,1)="0"),"리비전은 1부터",IF(COUNTIF($B$5:$B$200,B43)&gt;1,"중복","OK")))))))</f>
        <v/>
      </c>
      <c r="U43" s="3" t="str">
        <f>IF(B43="","",IF(COUNTIF(칩코드!$A$5:$A$60,E43)=0,"칩 미등록",IF(AND(OR(LEFT(B43,1)="C",LEFT(B43,1)="D"),I43=""),"고객 코드 필요",IF(AND(I43&lt;&gt;"",COUNTIF(고객코드!$A$5:$A$200,I43)=0),"고객 미등록",IF(AND(N43&lt;&gt;"",COUNTIF(고객코드!$A$5:$A$200,LEFT(N43,2))=0),"기본값 미등록",IF(AND(H43&lt;&gt;"",COUNTIF($B$5:$B$200,H43)=0),"이전 코드 없음","OK"))))))</f>
        <v/>
      </c>
    </row>
    <row r="44" spans="1:21" x14ac:dyDescent="0.3">
      <c r="A44" s="3" t="str">
        <f t="shared" si="3"/>
        <v/>
      </c>
      <c r="B44" s="11"/>
      <c r="C44" s="5" t="str">
        <f>IF(B44="","",IFERROR(INDEX(코드목록!$C$2:$C$20,MATCH(LEFT(B44,1),코드목록!$B$2:$B$20,0)),"?"))</f>
        <v/>
      </c>
      <c r="D44" s="11"/>
      <c r="E44" s="11"/>
      <c r="F44" s="5" t="str">
        <f>IF(E44="","",IFERROR(INDEX(칩코드!$C$5:$C$60,MATCH(E44,칩코드!$A$5:$A$60,0)),"?"))</f>
        <v/>
      </c>
      <c r="G44" s="12"/>
      <c r="H44" s="11"/>
      <c r="I44" s="11"/>
      <c r="J44" s="11"/>
      <c r="K44" s="11"/>
      <c r="L44" s="12"/>
      <c r="M44" s="12"/>
      <c r="N44" s="11"/>
      <c r="O44" s="12"/>
      <c r="P44" s="12"/>
      <c r="Q44" s="12"/>
      <c r="R44" s="5" t="str">
        <f t="shared" si="4"/>
        <v/>
      </c>
      <c r="S44" s="5" t="str">
        <f t="shared" si="5"/>
        <v/>
      </c>
      <c r="T44" s="3" t="str">
        <f>IF(B44="","",IF(LEN(B44)&lt;&gt;3,"3자리 아님",IF(SUMPRODUCT(--ISERROR(FIND(MID(B44,{1,2,3},1),"ABCDEFGHIJKLMNOPQRSTUVWXYZ0123456789")))&gt;0,"문자 오류",IF(COUNTIF(코드목록!$B$2:$B$20,LEFT(B44,1))=0,"구분 오류",IF(AND(LEFT(B44,1)="M",RIGHT(B44,1)&lt;&gt;"0"),"모듈 리비전은 0",IF(AND(LEFT(B44,1)&lt;&gt;"M",RIGHT(B44,1)="0"),"리비전은 1부터",IF(COUNTIF($B$5:$B$200,B44)&gt;1,"중복","OK")))))))</f>
        <v/>
      </c>
      <c r="U44" s="3" t="str">
        <f>IF(B44="","",IF(COUNTIF(칩코드!$A$5:$A$60,E44)=0,"칩 미등록",IF(AND(OR(LEFT(B44,1)="C",LEFT(B44,1)="D"),I44=""),"고객 코드 필요",IF(AND(I44&lt;&gt;"",COUNTIF(고객코드!$A$5:$A$200,I44)=0),"고객 미등록",IF(AND(N44&lt;&gt;"",COUNTIF(고객코드!$A$5:$A$200,LEFT(N44,2))=0),"기본값 미등록",IF(AND(H44&lt;&gt;"",COUNTIF($B$5:$B$200,H44)=0),"이전 코드 없음","OK"))))))</f>
        <v/>
      </c>
    </row>
    <row r="45" spans="1:21" x14ac:dyDescent="0.3">
      <c r="A45" s="3" t="str">
        <f t="shared" si="3"/>
        <v/>
      </c>
      <c r="B45" s="11"/>
      <c r="C45" s="5" t="str">
        <f>IF(B45="","",IFERROR(INDEX(코드목록!$C$2:$C$20,MATCH(LEFT(B45,1),코드목록!$B$2:$B$20,0)),"?"))</f>
        <v/>
      </c>
      <c r="D45" s="11"/>
      <c r="E45" s="11"/>
      <c r="F45" s="5" t="str">
        <f>IF(E45="","",IFERROR(INDEX(칩코드!$C$5:$C$60,MATCH(E45,칩코드!$A$5:$A$60,0)),"?"))</f>
        <v/>
      </c>
      <c r="G45" s="12"/>
      <c r="H45" s="11"/>
      <c r="I45" s="11"/>
      <c r="J45" s="11"/>
      <c r="K45" s="11"/>
      <c r="L45" s="12"/>
      <c r="M45" s="12"/>
      <c r="N45" s="11"/>
      <c r="O45" s="12"/>
      <c r="P45" s="12"/>
      <c r="Q45" s="12"/>
      <c r="R45" s="5" t="str">
        <f t="shared" si="4"/>
        <v/>
      </c>
      <c r="S45" s="5" t="str">
        <f t="shared" si="5"/>
        <v/>
      </c>
      <c r="T45" s="3" t="str">
        <f>IF(B45="","",IF(LEN(B45)&lt;&gt;3,"3자리 아님",IF(SUMPRODUCT(--ISERROR(FIND(MID(B45,{1,2,3},1),"ABCDEFGHIJKLMNOPQRSTUVWXYZ0123456789")))&gt;0,"문자 오류",IF(COUNTIF(코드목록!$B$2:$B$20,LEFT(B45,1))=0,"구분 오류",IF(AND(LEFT(B45,1)="M",RIGHT(B45,1)&lt;&gt;"0"),"모듈 리비전은 0",IF(AND(LEFT(B45,1)&lt;&gt;"M",RIGHT(B45,1)="0"),"리비전은 1부터",IF(COUNTIF($B$5:$B$200,B45)&gt;1,"중복","OK")))))))</f>
        <v/>
      </c>
      <c r="U45" s="3" t="str">
        <f>IF(B45="","",IF(COUNTIF(칩코드!$A$5:$A$60,E45)=0,"칩 미등록",IF(AND(OR(LEFT(B45,1)="C",LEFT(B45,1)="D"),I45=""),"고객 코드 필요",IF(AND(I45&lt;&gt;"",COUNTIF(고객코드!$A$5:$A$200,I45)=0),"고객 미등록",IF(AND(N45&lt;&gt;"",COUNTIF(고객코드!$A$5:$A$200,LEFT(N45,2))=0),"기본값 미등록",IF(AND(H45&lt;&gt;"",COUNTIF($B$5:$B$200,H45)=0),"이전 코드 없음","OK"))))))</f>
        <v/>
      </c>
    </row>
    <row r="46" spans="1:21" x14ac:dyDescent="0.3">
      <c r="A46" s="3" t="str">
        <f t="shared" si="3"/>
        <v/>
      </c>
      <c r="B46" s="11"/>
      <c r="C46" s="5" t="str">
        <f>IF(B46="","",IFERROR(INDEX(코드목록!$C$2:$C$20,MATCH(LEFT(B46,1),코드목록!$B$2:$B$20,0)),"?"))</f>
        <v/>
      </c>
      <c r="D46" s="11"/>
      <c r="E46" s="11"/>
      <c r="F46" s="5" t="str">
        <f>IF(E46="","",IFERROR(INDEX(칩코드!$C$5:$C$60,MATCH(E46,칩코드!$A$5:$A$60,0)),"?"))</f>
        <v/>
      </c>
      <c r="G46" s="12"/>
      <c r="H46" s="11"/>
      <c r="I46" s="11"/>
      <c r="J46" s="11"/>
      <c r="K46" s="11"/>
      <c r="L46" s="12"/>
      <c r="M46" s="12"/>
      <c r="N46" s="11"/>
      <c r="O46" s="12"/>
      <c r="P46" s="12"/>
      <c r="Q46" s="12"/>
      <c r="R46" s="5" t="str">
        <f t="shared" si="4"/>
        <v/>
      </c>
      <c r="S46" s="5" t="str">
        <f t="shared" si="5"/>
        <v/>
      </c>
      <c r="T46" s="3" t="str">
        <f>IF(B46="","",IF(LEN(B46)&lt;&gt;3,"3자리 아님",IF(SUMPRODUCT(--ISERROR(FIND(MID(B46,{1,2,3},1),"ABCDEFGHIJKLMNOPQRSTUVWXYZ0123456789")))&gt;0,"문자 오류",IF(COUNTIF(코드목록!$B$2:$B$20,LEFT(B46,1))=0,"구분 오류",IF(AND(LEFT(B46,1)="M",RIGHT(B46,1)&lt;&gt;"0"),"모듈 리비전은 0",IF(AND(LEFT(B46,1)&lt;&gt;"M",RIGHT(B46,1)="0"),"리비전은 1부터",IF(COUNTIF($B$5:$B$200,B46)&gt;1,"중복","OK")))))))</f>
        <v/>
      </c>
      <c r="U46" s="3" t="str">
        <f>IF(B46="","",IF(COUNTIF(칩코드!$A$5:$A$60,E46)=0,"칩 미등록",IF(AND(OR(LEFT(B46,1)="C",LEFT(B46,1)="D"),I46=""),"고객 코드 필요",IF(AND(I46&lt;&gt;"",COUNTIF(고객코드!$A$5:$A$200,I46)=0),"고객 미등록",IF(AND(N46&lt;&gt;"",COUNTIF(고객코드!$A$5:$A$200,LEFT(N46,2))=0),"기본값 미등록",IF(AND(H46&lt;&gt;"",COUNTIF($B$5:$B$200,H46)=0),"이전 코드 없음","OK"))))))</f>
        <v/>
      </c>
    </row>
    <row r="47" spans="1:21" x14ac:dyDescent="0.3">
      <c r="A47" s="3" t="str">
        <f t="shared" si="3"/>
        <v/>
      </c>
      <c r="B47" s="11"/>
      <c r="C47" s="5" t="str">
        <f>IF(B47="","",IFERROR(INDEX(코드목록!$C$2:$C$20,MATCH(LEFT(B47,1),코드목록!$B$2:$B$20,0)),"?"))</f>
        <v/>
      </c>
      <c r="D47" s="11"/>
      <c r="E47" s="11"/>
      <c r="F47" s="5" t="str">
        <f>IF(E47="","",IFERROR(INDEX(칩코드!$C$5:$C$60,MATCH(E47,칩코드!$A$5:$A$60,0)),"?"))</f>
        <v/>
      </c>
      <c r="G47" s="12"/>
      <c r="H47" s="11"/>
      <c r="I47" s="11"/>
      <c r="J47" s="11"/>
      <c r="K47" s="11"/>
      <c r="L47" s="12"/>
      <c r="M47" s="12"/>
      <c r="N47" s="11"/>
      <c r="O47" s="12"/>
      <c r="P47" s="12"/>
      <c r="Q47" s="12"/>
      <c r="R47" s="5" t="str">
        <f t="shared" si="4"/>
        <v/>
      </c>
      <c r="S47" s="5" t="str">
        <f t="shared" si="5"/>
        <v/>
      </c>
      <c r="T47" s="3" t="str">
        <f>IF(B47="","",IF(LEN(B47)&lt;&gt;3,"3자리 아님",IF(SUMPRODUCT(--ISERROR(FIND(MID(B47,{1,2,3},1),"ABCDEFGHIJKLMNOPQRSTUVWXYZ0123456789")))&gt;0,"문자 오류",IF(COUNTIF(코드목록!$B$2:$B$20,LEFT(B47,1))=0,"구분 오류",IF(AND(LEFT(B47,1)="M",RIGHT(B47,1)&lt;&gt;"0"),"모듈 리비전은 0",IF(AND(LEFT(B47,1)&lt;&gt;"M",RIGHT(B47,1)="0"),"리비전은 1부터",IF(COUNTIF($B$5:$B$200,B47)&gt;1,"중복","OK")))))))</f>
        <v/>
      </c>
      <c r="U47" s="3" t="str">
        <f>IF(B47="","",IF(COUNTIF(칩코드!$A$5:$A$60,E47)=0,"칩 미등록",IF(AND(OR(LEFT(B47,1)="C",LEFT(B47,1)="D"),I47=""),"고객 코드 필요",IF(AND(I47&lt;&gt;"",COUNTIF(고객코드!$A$5:$A$200,I47)=0),"고객 미등록",IF(AND(N47&lt;&gt;"",COUNTIF(고객코드!$A$5:$A$200,LEFT(N47,2))=0),"기본값 미등록",IF(AND(H47&lt;&gt;"",COUNTIF($B$5:$B$200,H47)=0),"이전 코드 없음","OK"))))))</f>
        <v/>
      </c>
    </row>
    <row r="48" spans="1:21" x14ac:dyDescent="0.3">
      <c r="A48" s="3" t="str">
        <f t="shared" si="3"/>
        <v/>
      </c>
      <c r="B48" s="11"/>
      <c r="C48" s="5" t="str">
        <f>IF(B48="","",IFERROR(INDEX(코드목록!$C$2:$C$20,MATCH(LEFT(B48,1),코드목록!$B$2:$B$20,0)),"?"))</f>
        <v/>
      </c>
      <c r="D48" s="11"/>
      <c r="E48" s="11"/>
      <c r="F48" s="5" t="str">
        <f>IF(E48="","",IFERROR(INDEX(칩코드!$C$5:$C$60,MATCH(E48,칩코드!$A$5:$A$60,0)),"?"))</f>
        <v/>
      </c>
      <c r="G48" s="12"/>
      <c r="H48" s="11"/>
      <c r="I48" s="11"/>
      <c r="J48" s="11"/>
      <c r="K48" s="11"/>
      <c r="L48" s="12"/>
      <c r="M48" s="12"/>
      <c r="N48" s="11"/>
      <c r="O48" s="12"/>
      <c r="P48" s="12"/>
      <c r="Q48" s="12"/>
      <c r="R48" s="5" t="str">
        <f t="shared" si="4"/>
        <v/>
      </c>
      <c r="S48" s="5" t="str">
        <f t="shared" si="5"/>
        <v/>
      </c>
      <c r="T48" s="3" t="str">
        <f>IF(B48="","",IF(LEN(B48)&lt;&gt;3,"3자리 아님",IF(SUMPRODUCT(--ISERROR(FIND(MID(B48,{1,2,3},1),"ABCDEFGHIJKLMNOPQRSTUVWXYZ0123456789")))&gt;0,"문자 오류",IF(COUNTIF(코드목록!$B$2:$B$20,LEFT(B48,1))=0,"구분 오류",IF(AND(LEFT(B48,1)="M",RIGHT(B48,1)&lt;&gt;"0"),"모듈 리비전은 0",IF(AND(LEFT(B48,1)&lt;&gt;"M",RIGHT(B48,1)="0"),"리비전은 1부터",IF(COUNTIF($B$5:$B$200,B48)&gt;1,"중복","OK")))))))</f>
        <v/>
      </c>
      <c r="U48" s="3" t="str">
        <f>IF(B48="","",IF(COUNTIF(칩코드!$A$5:$A$60,E48)=0,"칩 미등록",IF(AND(OR(LEFT(B48,1)="C",LEFT(B48,1)="D"),I48=""),"고객 코드 필요",IF(AND(I48&lt;&gt;"",COUNTIF(고객코드!$A$5:$A$200,I48)=0),"고객 미등록",IF(AND(N48&lt;&gt;"",COUNTIF(고객코드!$A$5:$A$200,LEFT(N48,2))=0),"기본값 미등록",IF(AND(H48&lt;&gt;"",COUNTIF($B$5:$B$200,H48)=0),"이전 코드 없음","OK"))))))</f>
        <v/>
      </c>
    </row>
    <row r="49" spans="1:21" x14ac:dyDescent="0.3">
      <c r="A49" s="3" t="str">
        <f t="shared" si="3"/>
        <v/>
      </c>
      <c r="B49" s="11"/>
      <c r="C49" s="5" t="str">
        <f>IF(B49="","",IFERROR(INDEX(코드목록!$C$2:$C$20,MATCH(LEFT(B49,1),코드목록!$B$2:$B$20,0)),"?"))</f>
        <v/>
      </c>
      <c r="D49" s="11"/>
      <c r="E49" s="11"/>
      <c r="F49" s="5" t="str">
        <f>IF(E49="","",IFERROR(INDEX(칩코드!$C$5:$C$60,MATCH(E49,칩코드!$A$5:$A$60,0)),"?"))</f>
        <v/>
      </c>
      <c r="G49" s="12"/>
      <c r="H49" s="11"/>
      <c r="I49" s="11"/>
      <c r="J49" s="11"/>
      <c r="K49" s="11"/>
      <c r="L49" s="12"/>
      <c r="M49" s="12"/>
      <c r="N49" s="11"/>
      <c r="O49" s="12"/>
      <c r="P49" s="12"/>
      <c r="Q49" s="12"/>
      <c r="R49" s="5" t="str">
        <f t="shared" si="4"/>
        <v/>
      </c>
      <c r="S49" s="5" t="str">
        <f t="shared" si="5"/>
        <v/>
      </c>
      <c r="T49" s="3" t="str">
        <f>IF(B49="","",IF(LEN(B49)&lt;&gt;3,"3자리 아님",IF(SUMPRODUCT(--ISERROR(FIND(MID(B49,{1,2,3},1),"ABCDEFGHIJKLMNOPQRSTUVWXYZ0123456789")))&gt;0,"문자 오류",IF(COUNTIF(코드목록!$B$2:$B$20,LEFT(B49,1))=0,"구분 오류",IF(AND(LEFT(B49,1)="M",RIGHT(B49,1)&lt;&gt;"0"),"모듈 리비전은 0",IF(AND(LEFT(B49,1)&lt;&gt;"M",RIGHT(B49,1)="0"),"리비전은 1부터",IF(COUNTIF($B$5:$B$200,B49)&gt;1,"중복","OK")))))))</f>
        <v/>
      </c>
      <c r="U49" s="3" t="str">
        <f>IF(B49="","",IF(COUNTIF(칩코드!$A$5:$A$60,E49)=0,"칩 미등록",IF(AND(OR(LEFT(B49,1)="C",LEFT(B49,1)="D"),I49=""),"고객 코드 필요",IF(AND(I49&lt;&gt;"",COUNTIF(고객코드!$A$5:$A$200,I49)=0),"고객 미등록",IF(AND(N49&lt;&gt;"",COUNTIF(고객코드!$A$5:$A$200,LEFT(N49,2))=0),"기본값 미등록",IF(AND(H49&lt;&gt;"",COUNTIF($B$5:$B$200,H49)=0),"이전 코드 없음","OK"))))))</f>
        <v/>
      </c>
    </row>
    <row r="50" spans="1:21" x14ac:dyDescent="0.3">
      <c r="A50" s="3" t="str">
        <f t="shared" si="3"/>
        <v/>
      </c>
      <c r="B50" s="11"/>
      <c r="C50" s="5" t="str">
        <f>IF(B50="","",IFERROR(INDEX(코드목록!$C$2:$C$20,MATCH(LEFT(B50,1),코드목록!$B$2:$B$20,0)),"?"))</f>
        <v/>
      </c>
      <c r="D50" s="11"/>
      <c r="E50" s="11"/>
      <c r="F50" s="5" t="str">
        <f>IF(E50="","",IFERROR(INDEX(칩코드!$C$5:$C$60,MATCH(E50,칩코드!$A$5:$A$60,0)),"?"))</f>
        <v/>
      </c>
      <c r="G50" s="12"/>
      <c r="H50" s="11"/>
      <c r="I50" s="11"/>
      <c r="J50" s="11"/>
      <c r="K50" s="11"/>
      <c r="L50" s="12"/>
      <c r="M50" s="12"/>
      <c r="N50" s="11"/>
      <c r="O50" s="12"/>
      <c r="P50" s="12"/>
      <c r="Q50" s="12"/>
      <c r="R50" s="5" t="str">
        <f t="shared" si="4"/>
        <v/>
      </c>
      <c r="S50" s="5" t="str">
        <f t="shared" si="5"/>
        <v/>
      </c>
      <c r="T50" s="3" t="str">
        <f>IF(B50="","",IF(LEN(B50)&lt;&gt;3,"3자리 아님",IF(SUMPRODUCT(--ISERROR(FIND(MID(B50,{1,2,3},1),"ABCDEFGHIJKLMNOPQRSTUVWXYZ0123456789")))&gt;0,"문자 오류",IF(COUNTIF(코드목록!$B$2:$B$20,LEFT(B50,1))=0,"구분 오류",IF(AND(LEFT(B50,1)="M",RIGHT(B50,1)&lt;&gt;"0"),"모듈 리비전은 0",IF(AND(LEFT(B50,1)&lt;&gt;"M",RIGHT(B50,1)="0"),"리비전은 1부터",IF(COUNTIF($B$5:$B$200,B50)&gt;1,"중복","OK")))))))</f>
        <v/>
      </c>
      <c r="U50" s="3" t="str">
        <f>IF(B50="","",IF(COUNTIF(칩코드!$A$5:$A$60,E50)=0,"칩 미등록",IF(AND(OR(LEFT(B50,1)="C",LEFT(B50,1)="D"),I50=""),"고객 코드 필요",IF(AND(I50&lt;&gt;"",COUNTIF(고객코드!$A$5:$A$200,I50)=0),"고객 미등록",IF(AND(N50&lt;&gt;"",COUNTIF(고객코드!$A$5:$A$200,LEFT(N50,2))=0),"기본값 미등록",IF(AND(H50&lt;&gt;"",COUNTIF($B$5:$B$200,H50)=0),"이전 코드 없음","OK"))))))</f>
        <v/>
      </c>
    </row>
    <row r="51" spans="1:21" x14ac:dyDescent="0.3">
      <c r="A51" s="3" t="str">
        <f t="shared" si="3"/>
        <v/>
      </c>
      <c r="B51" s="11"/>
      <c r="C51" s="5" t="str">
        <f>IF(B51="","",IFERROR(INDEX(코드목록!$C$2:$C$20,MATCH(LEFT(B51,1),코드목록!$B$2:$B$20,0)),"?"))</f>
        <v/>
      </c>
      <c r="D51" s="11"/>
      <c r="E51" s="11"/>
      <c r="F51" s="5" t="str">
        <f>IF(E51="","",IFERROR(INDEX(칩코드!$C$5:$C$60,MATCH(E51,칩코드!$A$5:$A$60,0)),"?"))</f>
        <v/>
      </c>
      <c r="G51" s="12"/>
      <c r="H51" s="11"/>
      <c r="I51" s="11"/>
      <c r="J51" s="11"/>
      <c r="K51" s="11"/>
      <c r="L51" s="12"/>
      <c r="M51" s="12"/>
      <c r="N51" s="11"/>
      <c r="O51" s="12"/>
      <c r="P51" s="12"/>
      <c r="Q51" s="12"/>
      <c r="R51" s="5" t="str">
        <f t="shared" si="4"/>
        <v/>
      </c>
      <c r="S51" s="5" t="str">
        <f t="shared" si="5"/>
        <v/>
      </c>
      <c r="T51" s="3" t="str">
        <f>IF(B51="","",IF(LEN(B51)&lt;&gt;3,"3자리 아님",IF(SUMPRODUCT(--ISERROR(FIND(MID(B51,{1,2,3},1),"ABCDEFGHIJKLMNOPQRSTUVWXYZ0123456789")))&gt;0,"문자 오류",IF(COUNTIF(코드목록!$B$2:$B$20,LEFT(B51,1))=0,"구분 오류",IF(AND(LEFT(B51,1)="M",RIGHT(B51,1)&lt;&gt;"0"),"모듈 리비전은 0",IF(AND(LEFT(B51,1)&lt;&gt;"M",RIGHT(B51,1)="0"),"리비전은 1부터",IF(COUNTIF($B$5:$B$200,B51)&gt;1,"중복","OK")))))))</f>
        <v/>
      </c>
      <c r="U51" s="3" t="str">
        <f>IF(B51="","",IF(COUNTIF(칩코드!$A$5:$A$60,E51)=0,"칩 미등록",IF(AND(OR(LEFT(B51,1)="C",LEFT(B51,1)="D"),I51=""),"고객 코드 필요",IF(AND(I51&lt;&gt;"",COUNTIF(고객코드!$A$5:$A$200,I51)=0),"고객 미등록",IF(AND(N51&lt;&gt;"",COUNTIF(고객코드!$A$5:$A$200,LEFT(N51,2))=0),"기본값 미등록",IF(AND(H51&lt;&gt;"",COUNTIF($B$5:$B$200,H51)=0),"이전 코드 없음","OK"))))))</f>
        <v/>
      </c>
    </row>
    <row r="52" spans="1:21" x14ac:dyDescent="0.3">
      <c r="A52" s="3" t="str">
        <f t="shared" si="3"/>
        <v/>
      </c>
      <c r="B52" s="11"/>
      <c r="C52" s="5" t="str">
        <f>IF(B52="","",IFERROR(INDEX(코드목록!$C$2:$C$20,MATCH(LEFT(B52,1),코드목록!$B$2:$B$20,0)),"?"))</f>
        <v/>
      </c>
      <c r="D52" s="11"/>
      <c r="E52" s="11"/>
      <c r="F52" s="5" t="str">
        <f>IF(E52="","",IFERROR(INDEX(칩코드!$C$5:$C$60,MATCH(E52,칩코드!$A$5:$A$60,0)),"?"))</f>
        <v/>
      </c>
      <c r="G52" s="12"/>
      <c r="H52" s="11"/>
      <c r="I52" s="11"/>
      <c r="J52" s="11"/>
      <c r="K52" s="11"/>
      <c r="L52" s="12"/>
      <c r="M52" s="12"/>
      <c r="N52" s="11"/>
      <c r="O52" s="12"/>
      <c r="P52" s="12"/>
      <c r="Q52" s="12"/>
      <c r="R52" s="5" t="str">
        <f t="shared" si="4"/>
        <v/>
      </c>
      <c r="S52" s="5" t="str">
        <f t="shared" si="5"/>
        <v/>
      </c>
      <c r="T52" s="3" t="str">
        <f>IF(B52="","",IF(LEN(B52)&lt;&gt;3,"3자리 아님",IF(SUMPRODUCT(--ISERROR(FIND(MID(B52,{1,2,3},1),"ABCDEFGHIJKLMNOPQRSTUVWXYZ0123456789")))&gt;0,"문자 오류",IF(COUNTIF(코드목록!$B$2:$B$20,LEFT(B52,1))=0,"구분 오류",IF(AND(LEFT(B52,1)="M",RIGHT(B52,1)&lt;&gt;"0"),"모듈 리비전은 0",IF(AND(LEFT(B52,1)&lt;&gt;"M",RIGHT(B52,1)="0"),"리비전은 1부터",IF(COUNTIF($B$5:$B$200,B52)&gt;1,"중복","OK")))))))</f>
        <v/>
      </c>
      <c r="U52" s="3" t="str">
        <f>IF(B52="","",IF(COUNTIF(칩코드!$A$5:$A$60,E52)=0,"칩 미등록",IF(AND(OR(LEFT(B52,1)="C",LEFT(B52,1)="D"),I52=""),"고객 코드 필요",IF(AND(I52&lt;&gt;"",COUNTIF(고객코드!$A$5:$A$200,I52)=0),"고객 미등록",IF(AND(N52&lt;&gt;"",COUNTIF(고객코드!$A$5:$A$200,LEFT(N52,2))=0),"기본값 미등록",IF(AND(H52&lt;&gt;"",COUNTIF($B$5:$B$200,H52)=0),"이전 코드 없음","OK"))))))</f>
        <v/>
      </c>
    </row>
    <row r="53" spans="1:21" x14ac:dyDescent="0.3">
      <c r="A53" s="3" t="str">
        <f t="shared" si="3"/>
        <v/>
      </c>
      <c r="B53" s="11"/>
      <c r="C53" s="5" t="str">
        <f>IF(B53="","",IFERROR(INDEX(코드목록!$C$2:$C$20,MATCH(LEFT(B53,1),코드목록!$B$2:$B$20,0)),"?"))</f>
        <v/>
      </c>
      <c r="D53" s="11"/>
      <c r="E53" s="11"/>
      <c r="F53" s="5" t="str">
        <f>IF(E53="","",IFERROR(INDEX(칩코드!$C$5:$C$60,MATCH(E53,칩코드!$A$5:$A$60,0)),"?"))</f>
        <v/>
      </c>
      <c r="G53" s="12"/>
      <c r="H53" s="11"/>
      <c r="I53" s="11"/>
      <c r="J53" s="11"/>
      <c r="K53" s="11"/>
      <c r="L53" s="12"/>
      <c r="M53" s="12"/>
      <c r="N53" s="11"/>
      <c r="O53" s="12"/>
      <c r="P53" s="12"/>
      <c r="Q53" s="12"/>
      <c r="R53" s="5" t="str">
        <f t="shared" si="4"/>
        <v/>
      </c>
      <c r="S53" s="5" t="str">
        <f t="shared" si="5"/>
        <v/>
      </c>
      <c r="T53" s="3" t="str">
        <f>IF(B53="","",IF(LEN(B53)&lt;&gt;3,"3자리 아님",IF(SUMPRODUCT(--ISERROR(FIND(MID(B53,{1,2,3},1),"ABCDEFGHIJKLMNOPQRSTUVWXYZ0123456789")))&gt;0,"문자 오류",IF(COUNTIF(코드목록!$B$2:$B$20,LEFT(B53,1))=0,"구분 오류",IF(AND(LEFT(B53,1)="M",RIGHT(B53,1)&lt;&gt;"0"),"모듈 리비전은 0",IF(AND(LEFT(B53,1)&lt;&gt;"M",RIGHT(B53,1)="0"),"리비전은 1부터",IF(COUNTIF($B$5:$B$200,B53)&gt;1,"중복","OK")))))))</f>
        <v/>
      </c>
      <c r="U53" s="3" t="str">
        <f>IF(B53="","",IF(COUNTIF(칩코드!$A$5:$A$60,E53)=0,"칩 미등록",IF(AND(OR(LEFT(B53,1)="C",LEFT(B53,1)="D"),I53=""),"고객 코드 필요",IF(AND(I53&lt;&gt;"",COUNTIF(고객코드!$A$5:$A$200,I53)=0),"고객 미등록",IF(AND(N53&lt;&gt;"",COUNTIF(고객코드!$A$5:$A$200,LEFT(N53,2))=0),"기본값 미등록",IF(AND(H53&lt;&gt;"",COUNTIF($B$5:$B$200,H53)=0),"이전 코드 없음","OK"))))))</f>
        <v/>
      </c>
    </row>
    <row r="54" spans="1:21" x14ac:dyDescent="0.3">
      <c r="A54" s="3" t="str">
        <f t="shared" si="3"/>
        <v/>
      </c>
      <c r="B54" s="11"/>
      <c r="C54" s="5" t="str">
        <f>IF(B54="","",IFERROR(INDEX(코드목록!$C$2:$C$20,MATCH(LEFT(B54,1),코드목록!$B$2:$B$20,0)),"?"))</f>
        <v/>
      </c>
      <c r="D54" s="11"/>
      <c r="E54" s="11"/>
      <c r="F54" s="5" t="str">
        <f>IF(E54="","",IFERROR(INDEX(칩코드!$C$5:$C$60,MATCH(E54,칩코드!$A$5:$A$60,0)),"?"))</f>
        <v/>
      </c>
      <c r="G54" s="12"/>
      <c r="H54" s="11"/>
      <c r="I54" s="11"/>
      <c r="J54" s="11"/>
      <c r="K54" s="11"/>
      <c r="L54" s="12"/>
      <c r="M54" s="12"/>
      <c r="N54" s="11"/>
      <c r="O54" s="12"/>
      <c r="P54" s="12"/>
      <c r="Q54" s="12"/>
      <c r="R54" s="5" t="str">
        <f t="shared" si="4"/>
        <v/>
      </c>
      <c r="S54" s="5" t="str">
        <f t="shared" si="5"/>
        <v/>
      </c>
      <c r="T54" s="3" t="str">
        <f>IF(B54="","",IF(LEN(B54)&lt;&gt;3,"3자리 아님",IF(SUMPRODUCT(--ISERROR(FIND(MID(B54,{1,2,3},1),"ABCDEFGHIJKLMNOPQRSTUVWXYZ0123456789")))&gt;0,"문자 오류",IF(COUNTIF(코드목록!$B$2:$B$20,LEFT(B54,1))=0,"구분 오류",IF(AND(LEFT(B54,1)="M",RIGHT(B54,1)&lt;&gt;"0"),"모듈 리비전은 0",IF(AND(LEFT(B54,1)&lt;&gt;"M",RIGHT(B54,1)="0"),"리비전은 1부터",IF(COUNTIF($B$5:$B$200,B54)&gt;1,"중복","OK")))))))</f>
        <v/>
      </c>
      <c r="U54" s="3" t="str">
        <f>IF(B54="","",IF(COUNTIF(칩코드!$A$5:$A$60,E54)=0,"칩 미등록",IF(AND(OR(LEFT(B54,1)="C",LEFT(B54,1)="D"),I54=""),"고객 코드 필요",IF(AND(I54&lt;&gt;"",COUNTIF(고객코드!$A$5:$A$200,I54)=0),"고객 미등록",IF(AND(N54&lt;&gt;"",COUNTIF(고객코드!$A$5:$A$200,LEFT(N54,2))=0),"기본값 미등록",IF(AND(H54&lt;&gt;"",COUNTIF($B$5:$B$200,H54)=0),"이전 코드 없음","OK"))))))</f>
        <v/>
      </c>
    </row>
    <row r="55" spans="1:21" x14ac:dyDescent="0.3">
      <c r="A55" s="3" t="str">
        <f t="shared" si="3"/>
        <v/>
      </c>
      <c r="B55" s="11"/>
      <c r="C55" s="5" t="str">
        <f>IF(B55="","",IFERROR(INDEX(코드목록!$C$2:$C$20,MATCH(LEFT(B55,1),코드목록!$B$2:$B$20,0)),"?"))</f>
        <v/>
      </c>
      <c r="D55" s="11"/>
      <c r="E55" s="11"/>
      <c r="F55" s="5" t="str">
        <f>IF(E55="","",IFERROR(INDEX(칩코드!$C$5:$C$60,MATCH(E55,칩코드!$A$5:$A$60,0)),"?"))</f>
        <v/>
      </c>
      <c r="G55" s="12"/>
      <c r="H55" s="11"/>
      <c r="I55" s="11"/>
      <c r="J55" s="11"/>
      <c r="K55" s="11"/>
      <c r="L55" s="12"/>
      <c r="M55" s="12"/>
      <c r="N55" s="11"/>
      <c r="O55" s="12"/>
      <c r="P55" s="12"/>
      <c r="Q55" s="12"/>
      <c r="R55" s="5" t="str">
        <f t="shared" si="4"/>
        <v/>
      </c>
      <c r="S55" s="5" t="str">
        <f t="shared" si="5"/>
        <v/>
      </c>
      <c r="T55" s="3" t="str">
        <f>IF(B55="","",IF(LEN(B55)&lt;&gt;3,"3자리 아님",IF(SUMPRODUCT(--ISERROR(FIND(MID(B55,{1,2,3},1),"ABCDEFGHIJKLMNOPQRSTUVWXYZ0123456789")))&gt;0,"문자 오류",IF(COUNTIF(코드목록!$B$2:$B$20,LEFT(B55,1))=0,"구분 오류",IF(AND(LEFT(B55,1)="M",RIGHT(B55,1)&lt;&gt;"0"),"모듈 리비전은 0",IF(AND(LEFT(B55,1)&lt;&gt;"M",RIGHT(B55,1)="0"),"리비전은 1부터",IF(COUNTIF($B$5:$B$200,B55)&gt;1,"중복","OK")))))))</f>
        <v/>
      </c>
      <c r="U55" s="3" t="str">
        <f>IF(B55="","",IF(COUNTIF(칩코드!$A$5:$A$60,E55)=0,"칩 미등록",IF(AND(OR(LEFT(B55,1)="C",LEFT(B55,1)="D"),I55=""),"고객 코드 필요",IF(AND(I55&lt;&gt;"",COUNTIF(고객코드!$A$5:$A$200,I55)=0),"고객 미등록",IF(AND(N55&lt;&gt;"",COUNTIF(고객코드!$A$5:$A$200,LEFT(N55,2))=0),"기본값 미등록",IF(AND(H55&lt;&gt;"",COUNTIF($B$5:$B$200,H55)=0),"이전 코드 없음","OK"))))))</f>
        <v/>
      </c>
    </row>
    <row r="56" spans="1:21" x14ac:dyDescent="0.3">
      <c r="A56" s="3" t="str">
        <f t="shared" si="3"/>
        <v/>
      </c>
      <c r="B56" s="11"/>
      <c r="C56" s="5" t="str">
        <f>IF(B56="","",IFERROR(INDEX(코드목록!$C$2:$C$20,MATCH(LEFT(B56,1),코드목록!$B$2:$B$20,0)),"?"))</f>
        <v/>
      </c>
      <c r="D56" s="11"/>
      <c r="E56" s="11"/>
      <c r="F56" s="5" t="str">
        <f>IF(E56="","",IFERROR(INDEX(칩코드!$C$5:$C$60,MATCH(E56,칩코드!$A$5:$A$60,0)),"?"))</f>
        <v/>
      </c>
      <c r="G56" s="12"/>
      <c r="H56" s="11"/>
      <c r="I56" s="11"/>
      <c r="J56" s="11"/>
      <c r="K56" s="11"/>
      <c r="L56" s="12"/>
      <c r="M56" s="12"/>
      <c r="N56" s="11"/>
      <c r="O56" s="12"/>
      <c r="P56" s="12"/>
      <c r="Q56" s="12"/>
      <c r="R56" s="5" t="str">
        <f t="shared" si="4"/>
        <v/>
      </c>
      <c r="S56" s="5" t="str">
        <f t="shared" si="5"/>
        <v/>
      </c>
      <c r="T56" s="3" t="str">
        <f>IF(B56="","",IF(LEN(B56)&lt;&gt;3,"3자리 아님",IF(SUMPRODUCT(--ISERROR(FIND(MID(B56,{1,2,3},1),"ABCDEFGHIJKLMNOPQRSTUVWXYZ0123456789")))&gt;0,"문자 오류",IF(COUNTIF(코드목록!$B$2:$B$20,LEFT(B56,1))=0,"구분 오류",IF(AND(LEFT(B56,1)="M",RIGHT(B56,1)&lt;&gt;"0"),"모듈 리비전은 0",IF(AND(LEFT(B56,1)&lt;&gt;"M",RIGHT(B56,1)="0"),"리비전은 1부터",IF(COUNTIF($B$5:$B$200,B56)&gt;1,"중복","OK")))))))</f>
        <v/>
      </c>
      <c r="U56" s="3" t="str">
        <f>IF(B56="","",IF(COUNTIF(칩코드!$A$5:$A$60,E56)=0,"칩 미등록",IF(AND(OR(LEFT(B56,1)="C",LEFT(B56,1)="D"),I56=""),"고객 코드 필요",IF(AND(I56&lt;&gt;"",COUNTIF(고객코드!$A$5:$A$200,I56)=0),"고객 미등록",IF(AND(N56&lt;&gt;"",COUNTIF(고객코드!$A$5:$A$200,LEFT(N56,2))=0),"기본값 미등록",IF(AND(H56&lt;&gt;"",COUNTIF($B$5:$B$200,H56)=0),"이전 코드 없음","OK"))))))</f>
        <v/>
      </c>
    </row>
    <row r="57" spans="1:21" x14ac:dyDescent="0.3">
      <c r="A57" s="3" t="str">
        <f t="shared" si="3"/>
        <v/>
      </c>
      <c r="B57" s="11"/>
      <c r="C57" s="5" t="str">
        <f>IF(B57="","",IFERROR(INDEX(코드목록!$C$2:$C$20,MATCH(LEFT(B57,1),코드목록!$B$2:$B$20,0)),"?"))</f>
        <v/>
      </c>
      <c r="D57" s="11"/>
      <c r="E57" s="11"/>
      <c r="F57" s="5" t="str">
        <f>IF(E57="","",IFERROR(INDEX(칩코드!$C$5:$C$60,MATCH(E57,칩코드!$A$5:$A$60,0)),"?"))</f>
        <v/>
      </c>
      <c r="G57" s="12"/>
      <c r="H57" s="11"/>
      <c r="I57" s="11"/>
      <c r="J57" s="11"/>
      <c r="K57" s="11"/>
      <c r="L57" s="12"/>
      <c r="M57" s="12"/>
      <c r="N57" s="11"/>
      <c r="O57" s="12"/>
      <c r="P57" s="12"/>
      <c r="Q57" s="12"/>
      <c r="R57" s="5" t="str">
        <f t="shared" si="4"/>
        <v/>
      </c>
      <c r="S57" s="5" t="str">
        <f t="shared" si="5"/>
        <v/>
      </c>
      <c r="T57" s="3" t="str">
        <f>IF(B57="","",IF(LEN(B57)&lt;&gt;3,"3자리 아님",IF(SUMPRODUCT(--ISERROR(FIND(MID(B57,{1,2,3},1),"ABCDEFGHIJKLMNOPQRSTUVWXYZ0123456789")))&gt;0,"문자 오류",IF(COUNTIF(코드목록!$B$2:$B$20,LEFT(B57,1))=0,"구분 오류",IF(AND(LEFT(B57,1)="M",RIGHT(B57,1)&lt;&gt;"0"),"모듈 리비전은 0",IF(AND(LEFT(B57,1)&lt;&gt;"M",RIGHT(B57,1)="0"),"리비전은 1부터",IF(COUNTIF($B$5:$B$200,B57)&gt;1,"중복","OK")))))))</f>
        <v/>
      </c>
      <c r="U57" s="3" t="str">
        <f>IF(B57="","",IF(COUNTIF(칩코드!$A$5:$A$60,E57)=0,"칩 미등록",IF(AND(OR(LEFT(B57,1)="C",LEFT(B57,1)="D"),I57=""),"고객 코드 필요",IF(AND(I57&lt;&gt;"",COUNTIF(고객코드!$A$5:$A$200,I57)=0),"고객 미등록",IF(AND(N57&lt;&gt;"",COUNTIF(고객코드!$A$5:$A$200,LEFT(N57,2))=0),"기본값 미등록",IF(AND(H57&lt;&gt;"",COUNTIF($B$5:$B$200,H57)=0),"이전 코드 없음","OK"))))))</f>
        <v/>
      </c>
    </row>
    <row r="58" spans="1:21" x14ac:dyDescent="0.3">
      <c r="A58" s="3" t="str">
        <f t="shared" si="3"/>
        <v/>
      </c>
      <c r="B58" s="11"/>
      <c r="C58" s="5" t="str">
        <f>IF(B58="","",IFERROR(INDEX(코드목록!$C$2:$C$20,MATCH(LEFT(B58,1),코드목록!$B$2:$B$20,0)),"?"))</f>
        <v/>
      </c>
      <c r="D58" s="11"/>
      <c r="E58" s="11"/>
      <c r="F58" s="5" t="str">
        <f>IF(E58="","",IFERROR(INDEX(칩코드!$C$5:$C$60,MATCH(E58,칩코드!$A$5:$A$60,0)),"?"))</f>
        <v/>
      </c>
      <c r="G58" s="12"/>
      <c r="H58" s="11"/>
      <c r="I58" s="11"/>
      <c r="J58" s="11"/>
      <c r="K58" s="11"/>
      <c r="L58" s="12"/>
      <c r="M58" s="12"/>
      <c r="N58" s="11"/>
      <c r="O58" s="12"/>
      <c r="P58" s="12"/>
      <c r="Q58" s="12"/>
      <c r="R58" s="5" t="str">
        <f t="shared" si="4"/>
        <v/>
      </c>
      <c r="S58" s="5" t="str">
        <f t="shared" si="5"/>
        <v/>
      </c>
      <c r="T58" s="3" t="str">
        <f>IF(B58="","",IF(LEN(B58)&lt;&gt;3,"3자리 아님",IF(SUMPRODUCT(--ISERROR(FIND(MID(B58,{1,2,3},1),"ABCDEFGHIJKLMNOPQRSTUVWXYZ0123456789")))&gt;0,"문자 오류",IF(COUNTIF(코드목록!$B$2:$B$20,LEFT(B58,1))=0,"구분 오류",IF(AND(LEFT(B58,1)="M",RIGHT(B58,1)&lt;&gt;"0"),"모듈 리비전은 0",IF(AND(LEFT(B58,1)&lt;&gt;"M",RIGHT(B58,1)="0"),"리비전은 1부터",IF(COUNTIF($B$5:$B$200,B58)&gt;1,"중복","OK")))))))</f>
        <v/>
      </c>
      <c r="U58" s="3" t="str">
        <f>IF(B58="","",IF(COUNTIF(칩코드!$A$5:$A$60,E58)=0,"칩 미등록",IF(AND(OR(LEFT(B58,1)="C",LEFT(B58,1)="D"),I58=""),"고객 코드 필요",IF(AND(I58&lt;&gt;"",COUNTIF(고객코드!$A$5:$A$200,I58)=0),"고객 미등록",IF(AND(N58&lt;&gt;"",COUNTIF(고객코드!$A$5:$A$200,LEFT(N58,2))=0),"기본값 미등록",IF(AND(H58&lt;&gt;"",COUNTIF($B$5:$B$200,H58)=0),"이전 코드 없음","OK"))))))</f>
        <v/>
      </c>
    </row>
    <row r="59" spans="1:21" x14ac:dyDescent="0.3">
      <c r="A59" s="3" t="str">
        <f t="shared" si="3"/>
        <v/>
      </c>
      <c r="B59" s="11"/>
      <c r="C59" s="5" t="str">
        <f>IF(B59="","",IFERROR(INDEX(코드목록!$C$2:$C$20,MATCH(LEFT(B59,1),코드목록!$B$2:$B$20,0)),"?"))</f>
        <v/>
      </c>
      <c r="D59" s="11"/>
      <c r="E59" s="11"/>
      <c r="F59" s="5" t="str">
        <f>IF(E59="","",IFERROR(INDEX(칩코드!$C$5:$C$60,MATCH(E59,칩코드!$A$5:$A$60,0)),"?"))</f>
        <v/>
      </c>
      <c r="G59" s="12"/>
      <c r="H59" s="11"/>
      <c r="I59" s="11"/>
      <c r="J59" s="11"/>
      <c r="K59" s="11"/>
      <c r="L59" s="12"/>
      <c r="M59" s="12"/>
      <c r="N59" s="11"/>
      <c r="O59" s="12"/>
      <c r="P59" s="12"/>
      <c r="Q59" s="12"/>
      <c r="R59" s="5" t="str">
        <f t="shared" si="4"/>
        <v/>
      </c>
      <c r="S59" s="5" t="str">
        <f t="shared" si="5"/>
        <v/>
      </c>
      <c r="T59" s="3" t="str">
        <f>IF(B59="","",IF(LEN(B59)&lt;&gt;3,"3자리 아님",IF(SUMPRODUCT(--ISERROR(FIND(MID(B59,{1,2,3},1),"ABCDEFGHIJKLMNOPQRSTUVWXYZ0123456789")))&gt;0,"문자 오류",IF(COUNTIF(코드목록!$B$2:$B$20,LEFT(B59,1))=0,"구분 오류",IF(AND(LEFT(B59,1)="M",RIGHT(B59,1)&lt;&gt;"0"),"모듈 리비전은 0",IF(AND(LEFT(B59,1)&lt;&gt;"M",RIGHT(B59,1)="0"),"리비전은 1부터",IF(COUNTIF($B$5:$B$200,B59)&gt;1,"중복","OK")))))))</f>
        <v/>
      </c>
      <c r="U59" s="3" t="str">
        <f>IF(B59="","",IF(COUNTIF(칩코드!$A$5:$A$60,E59)=0,"칩 미등록",IF(AND(OR(LEFT(B59,1)="C",LEFT(B59,1)="D"),I59=""),"고객 코드 필요",IF(AND(I59&lt;&gt;"",COUNTIF(고객코드!$A$5:$A$200,I59)=0),"고객 미등록",IF(AND(N59&lt;&gt;"",COUNTIF(고객코드!$A$5:$A$200,LEFT(N59,2))=0),"기본값 미등록",IF(AND(H59&lt;&gt;"",COUNTIF($B$5:$B$200,H59)=0),"이전 코드 없음","OK"))))))</f>
        <v/>
      </c>
    </row>
    <row r="60" spans="1:21" x14ac:dyDescent="0.3">
      <c r="A60" s="3" t="str">
        <f t="shared" si="3"/>
        <v/>
      </c>
      <c r="B60" s="11"/>
      <c r="C60" s="5" t="str">
        <f>IF(B60="","",IFERROR(INDEX(코드목록!$C$2:$C$20,MATCH(LEFT(B60,1),코드목록!$B$2:$B$20,0)),"?"))</f>
        <v/>
      </c>
      <c r="D60" s="11"/>
      <c r="E60" s="11"/>
      <c r="F60" s="5" t="str">
        <f>IF(E60="","",IFERROR(INDEX(칩코드!$C$5:$C$60,MATCH(E60,칩코드!$A$5:$A$60,0)),"?"))</f>
        <v/>
      </c>
      <c r="G60" s="12"/>
      <c r="H60" s="11"/>
      <c r="I60" s="11"/>
      <c r="J60" s="11"/>
      <c r="K60" s="11"/>
      <c r="L60" s="12"/>
      <c r="M60" s="12"/>
      <c r="N60" s="11"/>
      <c r="O60" s="12"/>
      <c r="P60" s="12"/>
      <c r="Q60" s="12"/>
      <c r="R60" s="5" t="str">
        <f t="shared" si="4"/>
        <v/>
      </c>
      <c r="S60" s="5" t="str">
        <f t="shared" si="5"/>
        <v/>
      </c>
      <c r="T60" s="3" t="str">
        <f>IF(B60="","",IF(LEN(B60)&lt;&gt;3,"3자리 아님",IF(SUMPRODUCT(--ISERROR(FIND(MID(B60,{1,2,3},1),"ABCDEFGHIJKLMNOPQRSTUVWXYZ0123456789")))&gt;0,"문자 오류",IF(COUNTIF(코드목록!$B$2:$B$20,LEFT(B60,1))=0,"구분 오류",IF(AND(LEFT(B60,1)="M",RIGHT(B60,1)&lt;&gt;"0"),"모듈 리비전은 0",IF(AND(LEFT(B60,1)&lt;&gt;"M",RIGHT(B60,1)="0"),"리비전은 1부터",IF(COUNTIF($B$5:$B$200,B60)&gt;1,"중복","OK")))))))</f>
        <v/>
      </c>
      <c r="U60" s="3" t="str">
        <f>IF(B60="","",IF(COUNTIF(칩코드!$A$5:$A$60,E60)=0,"칩 미등록",IF(AND(OR(LEFT(B60,1)="C",LEFT(B60,1)="D"),I60=""),"고객 코드 필요",IF(AND(I60&lt;&gt;"",COUNTIF(고객코드!$A$5:$A$200,I60)=0),"고객 미등록",IF(AND(N60&lt;&gt;"",COUNTIF(고객코드!$A$5:$A$200,LEFT(N60,2))=0),"기본값 미등록",IF(AND(H60&lt;&gt;"",COUNTIF($B$5:$B$200,H60)=0),"이전 코드 없음","OK"))))))</f>
        <v/>
      </c>
    </row>
    <row r="61" spans="1:21" x14ac:dyDescent="0.3">
      <c r="A61" s="3" t="str">
        <f t="shared" si="3"/>
        <v/>
      </c>
      <c r="B61" s="11"/>
      <c r="C61" s="5" t="str">
        <f>IF(B61="","",IFERROR(INDEX(코드목록!$C$2:$C$20,MATCH(LEFT(B61,1),코드목록!$B$2:$B$20,0)),"?"))</f>
        <v/>
      </c>
      <c r="D61" s="11"/>
      <c r="E61" s="11"/>
      <c r="F61" s="5" t="str">
        <f>IF(E61="","",IFERROR(INDEX(칩코드!$C$5:$C$60,MATCH(E61,칩코드!$A$5:$A$60,0)),"?"))</f>
        <v/>
      </c>
      <c r="G61" s="12"/>
      <c r="H61" s="11"/>
      <c r="I61" s="11"/>
      <c r="J61" s="11"/>
      <c r="K61" s="11"/>
      <c r="L61" s="12"/>
      <c r="M61" s="12"/>
      <c r="N61" s="11"/>
      <c r="O61" s="12"/>
      <c r="P61" s="12"/>
      <c r="Q61" s="12"/>
      <c r="R61" s="5" t="str">
        <f t="shared" si="4"/>
        <v/>
      </c>
      <c r="S61" s="5" t="str">
        <f t="shared" si="5"/>
        <v/>
      </c>
      <c r="T61" s="3" t="str">
        <f>IF(B61="","",IF(LEN(B61)&lt;&gt;3,"3자리 아님",IF(SUMPRODUCT(--ISERROR(FIND(MID(B61,{1,2,3},1),"ABCDEFGHIJKLMNOPQRSTUVWXYZ0123456789")))&gt;0,"문자 오류",IF(COUNTIF(코드목록!$B$2:$B$20,LEFT(B61,1))=0,"구분 오류",IF(AND(LEFT(B61,1)="M",RIGHT(B61,1)&lt;&gt;"0"),"모듈 리비전은 0",IF(AND(LEFT(B61,1)&lt;&gt;"M",RIGHT(B61,1)="0"),"리비전은 1부터",IF(COUNTIF($B$5:$B$200,B61)&gt;1,"중복","OK")))))))</f>
        <v/>
      </c>
      <c r="U61" s="3" t="str">
        <f>IF(B61="","",IF(COUNTIF(칩코드!$A$5:$A$60,E61)=0,"칩 미등록",IF(AND(OR(LEFT(B61,1)="C",LEFT(B61,1)="D"),I61=""),"고객 코드 필요",IF(AND(I61&lt;&gt;"",COUNTIF(고객코드!$A$5:$A$200,I61)=0),"고객 미등록",IF(AND(N61&lt;&gt;"",COUNTIF(고객코드!$A$5:$A$200,LEFT(N61,2))=0),"기본값 미등록",IF(AND(H61&lt;&gt;"",COUNTIF($B$5:$B$200,H61)=0),"이전 코드 없음","OK"))))))</f>
        <v/>
      </c>
    </row>
    <row r="62" spans="1:21" x14ac:dyDescent="0.3">
      <c r="A62" s="3" t="str">
        <f t="shared" si="3"/>
        <v/>
      </c>
      <c r="B62" s="11"/>
      <c r="C62" s="5" t="str">
        <f>IF(B62="","",IFERROR(INDEX(코드목록!$C$2:$C$20,MATCH(LEFT(B62,1),코드목록!$B$2:$B$20,0)),"?"))</f>
        <v/>
      </c>
      <c r="D62" s="11"/>
      <c r="E62" s="11"/>
      <c r="F62" s="5" t="str">
        <f>IF(E62="","",IFERROR(INDEX(칩코드!$C$5:$C$60,MATCH(E62,칩코드!$A$5:$A$60,0)),"?"))</f>
        <v/>
      </c>
      <c r="G62" s="12"/>
      <c r="H62" s="11"/>
      <c r="I62" s="11"/>
      <c r="J62" s="11"/>
      <c r="K62" s="11"/>
      <c r="L62" s="12"/>
      <c r="M62" s="12"/>
      <c r="N62" s="11"/>
      <c r="O62" s="12"/>
      <c r="P62" s="12"/>
      <c r="Q62" s="12"/>
      <c r="R62" s="5" t="str">
        <f t="shared" si="4"/>
        <v/>
      </c>
      <c r="S62" s="5" t="str">
        <f t="shared" si="5"/>
        <v/>
      </c>
      <c r="T62" s="3" t="str">
        <f>IF(B62="","",IF(LEN(B62)&lt;&gt;3,"3자리 아님",IF(SUMPRODUCT(--ISERROR(FIND(MID(B62,{1,2,3},1),"ABCDEFGHIJKLMNOPQRSTUVWXYZ0123456789")))&gt;0,"문자 오류",IF(COUNTIF(코드목록!$B$2:$B$20,LEFT(B62,1))=0,"구분 오류",IF(AND(LEFT(B62,1)="M",RIGHT(B62,1)&lt;&gt;"0"),"모듈 리비전은 0",IF(AND(LEFT(B62,1)&lt;&gt;"M",RIGHT(B62,1)="0"),"리비전은 1부터",IF(COUNTIF($B$5:$B$200,B62)&gt;1,"중복","OK")))))))</f>
        <v/>
      </c>
      <c r="U62" s="3" t="str">
        <f>IF(B62="","",IF(COUNTIF(칩코드!$A$5:$A$60,E62)=0,"칩 미등록",IF(AND(OR(LEFT(B62,1)="C",LEFT(B62,1)="D"),I62=""),"고객 코드 필요",IF(AND(I62&lt;&gt;"",COUNTIF(고객코드!$A$5:$A$200,I62)=0),"고객 미등록",IF(AND(N62&lt;&gt;"",COUNTIF(고객코드!$A$5:$A$200,LEFT(N62,2))=0),"기본값 미등록",IF(AND(H62&lt;&gt;"",COUNTIF($B$5:$B$200,H62)=0),"이전 코드 없음","OK"))))))</f>
        <v/>
      </c>
    </row>
    <row r="63" spans="1:21" x14ac:dyDescent="0.3">
      <c r="A63" s="3" t="str">
        <f t="shared" si="3"/>
        <v/>
      </c>
      <c r="B63" s="11"/>
      <c r="C63" s="5" t="str">
        <f>IF(B63="","",IFERROR(INDEX(코드목록!$C$2:$C$20,MATCH(LEFT(B63,1),코드목록!$B$2:$B$20,0)),"?"))</f>
        <v/>
      </c>
      <c r="D63" s="11"/>
      <c r="E63" s="11"/>
      <c r="F63" s="5" t="str">
        <f>IF(E63="","",IFERROR(INDEX(칩코드!$C$5:$C$60,MATCH(E63,칩코드!$A$5:$A$60,0)),"?"))</f>
        <v/>
      </c>
      <c r="G63" s="12"/>
      <c r="H63" s="11"/>
      <c r="I63" s="11"/>
      <c r="J63" s="11"/>
      <c r="K63" s="11"/>
      <c r="L63" s="12"/>
      <c r="M63" s="12"/>
      <c r="N63" s="11"/>
      <c r="O63" s="12"/>
      <c r="P63" s="12"/>
      <c r="Q63" s="12"/>
      <c r="R63" s="5" t="str">
        <f t="shared" si="4"/>
        <v/>
      </c>
      <c r="S63" s="5" t="str">
        <f t="shared" si="5"/>
        <v/>
      </c>
      <c r="T63" s="3" t="str">
        <f>IF(B63="","",IF(LEN(B63)&lt;&gt;3,"3자리 아님",IF(SUMPRODUCT(--ISERROR(FIND(MID(B63,{1,2,3},1),"ABCDEFGHIJKLMNOPQRSTUVWXYZ0123456789")))&gt;0,"문자 오류",IF(COUNTIF(코드목록!$B$2:$B$20,LEFT(B63,1))=0,"구분 오류",IF(AND(LEFT(B63,1)="M",RIGHT(B63,1)&lt;&gt;"0"),"모듈 리비전은 0",IF(AND(LEFT(B63,1)&lt;&gt;"M",RIGHT(B63,1)="0"),"리비전은 1부터",IF(COUNTIF($B$5:$B$200,B63)&gt;1,"중복","OK")))))))</f>
        <v/>
      </c>
      <c r="U63" s="3" t="str">
        <f>IF(B63="","",IF(COUNTIF(칩코드!$A$5:$A$60,E63)=0,"칩 미등록",IF(AND(OR(LEFT(B63,1)="C",LEFT(B63,1)="D"),I63=""),"고객 코드 필요",IF(AND(I63&lt;&gt;"",COUNTIF(고객코드!$A$5:$A$200,I63)=0),"고객 미등록",IF(AND(N63&lt;&gt;"",COUNTIF(고객코드!$A$5:$A$200,LEFT(N63,2))=0),"기본값 미등록",IF(AND(H63&lt;&gt;"",COUNTIF($B$5:$B$200,H63)=0),"이전 코드 없음","OK"))))))</f>
        <v/>
      </c>
    </row>
    <row r="64" spans="1:21" x14ac:dyDescent="0.3">
      <c r="A64" s="3" t="str">
        <f t="shared" si="3"/>
        <v/>
      </c>
      <c r="B64" s="11"/>
      <c r="C64" s="5" t="str">
        <f>IF(B64="","",IFERROR(INDEX(코드목록!$C$2:$C$20,MATCH(LEFT(B64,1),코드목록!$B$2:$B$20,0)),"?"))</f>
        <v/>
      </c>
      <c r="D64" s="11"/>
      <c r="E64" s="11"/>
      <c r="F64" s="5" t="str">
        <f>IF(E64="","",IFERROR(INDEX(칩코드!$C$5:$C$60,MATCH(E64,칩코드!$A$5:$A$60,0)),"?"))</f>
        <v/>
      </c>
      <c r="G64" s="12"/>
      <c r="H64" s="11"/>
      <c r="I64" s="11"/>
      <c r="J64" s="11"/>
      <c r="K64" s="11"/>
      <c r="L64" s="12"/>
      <c r="M64" s="12"/>
      <c r="N64" s="11"/>
      <c r="O64" s="12"/>
      <c r="P64" s="12"/>
      <c r="Q64" s="12"/>
      <c r="R64" s="5" t="str">
        <f t="shared" si="4"/>
        <v/>
      </c>
      <c r="S64" s="5" t="str">
        <f t="shared" si="5"/>
        <v/>
      </c>
      <c r="T64" s="3" t="str">
        <f>IF(B64="","",IF(LEN(B64)&lt;&gt;3,"3자리 아님",IF(SUMPRODUCT(--ISERROR(FIND(MID(B64,{1,2,3},1),"ABCDEFGHIJKLMNOPQRSTUVWXYZ0123456789")))&gt;0,"문자 오류",IF(COUNTIF(코드목록!$B$2:$B$20,LEFT(B64,1))=0,"구분 오류",IF(AND(LEFT(B64,1)="M",RIGHT(B64,1)&lt;&gt;"0"),"모듈 리비전은 0",IF(AND(LEFT(B64,1)&lt;&gt;"M",RIGHT(B64,1)="0"),"리비전은 1부터",IF(COUNTIF($B$5:$B$200,B64)&gt;1,"중복","OK")))))))</f>
        <v/>
      </c>
      <c r="U64" s="3" t="str">
        <f>IF(B64="","",IF(COUNTIF(칩코드!$A$5:$A$60,E64)=0,"칩 미등록",IF(AND(OR(LEFT(B64,1)="C",LEFT(B64,1)="D"),I64=""),"고객 코드 필요",IF(AND(I64&lt;&gt;"",COUNTIF(고객코드!$A$5:$A$200,I64)=0),"고객 미등록",IF(AND(N64&lt;&gt;"",COUNTIF(고객코드!$A$5:$A$200,LEFT(N64,2))=0),"기본값 미등록",IF(AND(H64&lt;&gt;"",COUNTIF($B$5:$B$200,H64)=0),"이전 코드 없음","OK"))))))</f>
        <v/>
      </c>
    </row>
    <row r="65" spans="1:21" x14ac:dyDescent="0.3">
      <c r="A65" s="3" t="str">
        <f t="shared" si="3"/>
        <v/>
      </c>
      <c r="B65" s="11"/>
      <c r="C65" s="5" t="str">
        <f>IF(B65="","",IFERROR(INDEX(코드목록!$C$2:$C$20,MATCH(LEFT(B65,1),코드목록!$B$2:$B$20,0)),"?"))</f>
        <v/>
      </c>
      <c r="D65" s="11"/>
      <c r="E65" s="11"/>
      <c r="F65" s="5" t="str">
        <f>IF(E65="","",IFERROR(INDEX(칩코드!$C$5:$C$60,MATCH(E65,칩코드!$A$5:$A$60,0)),"?"))</f>
        <v/>
      </c>
      <c r="G65" s="12"/>
      <c r="H65" s="11"/>
      <c r="I65" s="11"/>
      <c r="J65" s="11"/>
      <c r="K65" s="11"/>
      <c r="L65" s="12"/>
      <c r="M65" s="12"/>
      <c r="N65" s="11"/>
      <c r="O65" s="12"/>
      <c r="P65" s="12"/>
      <c r="Q65" s="12"/>
      <c r="R65" s="5" t="str">
        <f t="shared" si="4"/>
        <v/>
      </c>
      <c r="S65" s="5" t="str">
        <f t="shared" si="5"/>
        <v/>
      </c>
      <c r="T65" s="3" t="str">
        <f>IF(B65="","",IF(LEN(B65)&lt;&gt;3,"3자리 아님",IF(SUMPRODUCT(--ISERROR(FIND(MID(B65,{1,2,3},1),"ABCDEFGHIJKLMNOPQRSTUVWXYZ0123456789")))&gt;0,"문자 오류",IF(COUNTIF(코드목록!$B$2:$B$20,LEFT(B65,1))=0,"구분 오류",IF(AND(LEFT(B65,1)="M",RIGHT(B65,1)&lt;&gt;"0"),"모듈 리비전은 0",IF(AND(LEFT(B65,1)&lt;&gt;"M",RIGHT(B65,1)="0"),"리비전은 1부터",IF(COUNTIF($B$5:$B$200,B65)&gt;1,"중복","OK")))))))</f>
        <v/>
      </c>
      <c r="U65" s="3" t="str">
        <f>IF(B65="","",IF(COUNTIF(칩코드!$A$5:$A$60,E65)=0,"칩 미등록",IF(AND(OR(LEFT(B65,1)="C",LEFT(B65,1)="D"),I65=""),"고객 코드 필요",IF(AND(I65&lt;&gt;"",COUNTIF(고객코드!$A$5:$A$200,I65)=0),"고객 미등록",IF(AND(N65&lt;&gt;"",COUNTIF(고객코드!$A$5:$A$200,LEFT(N65,2))=0),"기본값 미등록",IF(AND(H65&lt;&gt;"",COUNTIF($B$5:$B$200,H65)=0),"이전 코드 없음","OK"))))))</f>
        <v/>
      </c>
    </row>
    <row r="66" spans="1:21" x14ac:dyDescent="0.3">
      <c r="A66" s="3" t="str">
        <f t="shared" si="3"/>
        <v/>
      </c>
      <c r="B66" s="11"/>
      <c r="C66" s="5" t="str">
        <f>IF(B66="","",IFERROR(INDEX(코드목록!$C$2:$C$20,MATCH(LEFT(B66,1),코드목록!$B$2:$B$20,0)),"?"))</f>
        <v/>
      </c>
      <c r="D66" s="11"/>
      <c r="E66" s="11"/>
      <c r="F66" s="5" t="str">
        <f>IF(E66="","",IFERROR(INDEX(칩코드!$C$5:$C$60,MATCH(E66,칩코드!$A$5:$A$60,0)),"?"))</f>
        <v/>
      </c>
      <c r="G66" s="12"/>
      <c r="H66" s="11"/>
      <c r="I66" s="11"/>
      <c r="J66" s="11"/>
      <c r="K66" s="11"/>
      <c r="L66" s="12"/>
      <c r="M66" s="12"/>
      <c r="N66" s="11"/>
      <c r="O66" s="12"/>
      <c r="P66" s="12"/>
      <c r="Q66" s="12"/>
      <c r="R66" s="5" t="str">
        <f t="shared" si="4"/>
        <v/>
      </c>
      <c r="S66" s="5" t="str">
        <f t="shared" si="5"/>
        <v/>
      </c>
      <c r="T66" s="3" t="str">
        <f>IF(B66="","",IF(LEN(B66)&lt;&gt;3,"3자리 아님",IF(SUMPRODUCT(--ISERROR(FIND(MID(B66,{1,2,3},1),"ABCDEFGHIJKLMNOPQRSTUVWXYZ0123456789")))&gt;0,"문자 오류",IF(COUNTIF(코드목록!$B$2:$B$20,LEFT(B66,1))=0,"구분 오류",IF(AND(LEFT(B66,1)="M",RIGHT(B66,1)&lt;&gt;"0"),"모듈 리비전은 0",IF(AND(LEFT(B66,1)&lt;&gt;"M",RIGHT(B66,1)="0"),"리비전은 1부터",IF(COUNTIF($B$5:$B$200,B66)&gt;1,"중복","OK")))))))</f>
        <v/>
      </c>
      <c r="U66" s="3" t="str">
        <f>IF(B66="","",IF(COUNTIF(칩코드!$A$5:$A$60,E66)=0,"칩 미등록",IF(AND(OR(LEFT(B66,1)="C",LEFT(B66,1)="D"),I66=""),"고객 코드 필요",IF(AND(I66&lt;&gt;"",COUNTIF(고객코드!$A$5:$A$200,I66)=0),"고객 미등록",IF(AND(N66&lt;&gt;"",COUNTIF(고객코드!$A$5:$A$200,LEFT(N66,2))=0),"기본값 미등록",IF(AND(H66&lt;&gt;"",COUNTIF($B$5:$B$200,H66)=0),"이전 코드 없음","OK"))))))</f>
        <v/>
      </c>
    </row>
    <row r="67" spans="1:21" x14ac:dyDescent="0.3">
      <c r="A67" s="3" t="str">
        <f t="shared" si="3"/>
        <v/>
      </c>
      <c r="B67" s="11"/>
      <c r="C67" s="5" t="str">
        <f>IF(B67="","",IFERROR(INDEX(코드목록!$C$2:$C$20,MATCH(LEFT(B67,1),코드목록!$B$2:$B$20,0)),"?"))</f>
        <v/>
      </c>
      <c r="D67" s="11"/>
      <c r="E67" s="11"/>
      <c r="F67" s="5" t="str">
        <f>IF(E67="","",IFERROR(INDEX(칩코드!$C$5:$C$60,MATCH(E67,칩코드!$A$5:$A$60,0)),"?"))</f>
        <v/>
      </c>
      <c r="G67" s="12"/>
      <c r="H67" s="11"/>
      <c r="I67" s="11"/>
      <c r="J67" s="11"/>
      <c r="K67" s="11"/>
      <c r="L67" s="12"/>
      <c r="M67" s="12"/>
      <c r="N67" s="11"/>
      <c r="O67" s="12"/>
      <c r="P67" s="12"/>
      <c r="Q67" s="12"/>
      <c r="R67" s="5" t="str">
        <f t="shared" si="4"/>
        <v/>
      </c>
      <c r="S67" s="5" t="str">
        <f t="shared" si="5"/>
        <v/>
      </c>
      <c r="T67" s="3" t="str">
        <f>IF(B67="","",IF(LEN(B67)&lt;&gt;3,"3자리 아님",IF(SUMPRODUCT(--ISERROR(FIND(MID(B67,{1,2,3},1),"ABCDEFGHIJKLMNOPQRSTUVWXYZ0123456789")))&gt;0,"문자 오류",IF(COUNTIF(코드목록!$B$2:$B$20,LEFT(B67,1))=0,"구분 오류",IF(AND(LEFT(B67,1)="M",RIGHT(B67,1)&lt;&gt;"0"),"모듈 리비전은 0",IF(AND(LEFT(B67,1)&lt;&gt;"M",RIGHT(B67,1)="0"),"리비전은 1부터",IF(COUNTIF($B$5:$B$200,B67)&gt;1,"중복","OK")))))))</f>
        <v/>
      </c>
      <c r="U67" s="3" t="str">
        <f>IF(B67="","",IF(COUNTIF(칩코드!$A$5:$A$60,E67)=0,"칩 미등록",IF(AND(OR(LEFT(B67,1)="C",LEFT(B67,1)="D"),I67=""),"고객 코드 필요",IF(AND(I67&lt;&gt;"",COUNTIF(고객코드!$A$5:$A$200,I67)=0),"고객 미등록",IF(AND(N67&lt;&gt;"",COUNTIF(고객코드!$A$5:$A$200,LEFT(N67,2))=0),"기본값 미등록",IF(AND(H67&lt;&gt;"",COUNTIF($B$5:$B$200,H67)=0),"이전 코드 없음","OK"))))))</f>
        <v/>
      </c>
    </row>
    <row r="68" spans="1:21" x14ac:dyDescent="0.3">
      <c r="A68" s="3" t="str">
        <f t="shared" si="3"/>
        <v/>
      </c>
      <c r="B68" s="11"/>
      <c r="C68" s="5" t="str">
        <f>IF(B68="","",IFERROR(INDEX(코드목록!$C$2:$C$20,MATCH(LEFT(B68,1),코드목록!$B$2:$B$20,0)),"?"))</f>
        <v/>
      </c>
      <c r="D68" s="11"/>
      <c r="E68" s="11"/>
      <c r="F68" s="5" t="str">
        <f>IF(E68="","",IFERROR(INDEX(칩코드!$C$5:$C$60,MATCH(E68,칩코드!$A$5:$A$60,0)),"?"))</f>
        <v/>
      </c>
      <c r="G68" s="12"/>
      <c r="H68" s="11"/>
      <c r="I68" s="11"/>
      <c r="J68" s="11"/>
      <c r="K68" s="11"/>
      <c r="L68" s="12"/>
      <c r="M68" s="12"/>
      <c r="N68" s="11"/>
      <c r="O68" s="12"/>
      <c r="P68" s="12"/>
      <c r="Q68" s="12"/>
      <c r="R68" s="5" t="str">
        <f t="shared" si="4"/>
        <v/>
      </c>
      <c r="S68" s="5" t="str">
        <f t="shared" si="5"/>
        <v/>
      </c>
      <c r="T68" s="3" t="str">
        <f>IF(B68="","",IF(LEN(B68)&lt;&gt;3,"3자리 아님",IF(SUMPRODUCT(--ISERROR(FIND(MID(B68,{1,2,3},1),"ABCDEFGHIJKLMNOPQRSTUVWXYZ0123456789")))&gt;0,"문자 오류",IF(COUNTIF(코드목록!$B$2:$B$20,LEFT(B68,1))=0,"구분 오류",IF(AND(LEFT(B68,1)="M",RIGHT(B68,1)&lt;&gt;"0"),"모듈 리비전은 0",IF(AND(LEFT(B68,1)&lt;&gt;"M",RIGHT(B68,1)="0"),"리비전은 1부터",IF(COUNTIF($B$5:$B$200,B68)&gt;1,"중복","OK")))))))</f>
        <v/>
      </c>
      <c r="U68" s="3" t="str">
        <f>IF(B68="","",IF(COUNTIF(칩코드!$A$5:$A$60,E68)=0,"칩 미등록",IF(AND(OR(LEFT(B68,1)="C",LEFT(B68,1)="D"),I68=""),"고객 코드 필요",IF(AND(I68&lt;&gt;"",COUNTIF(고객코드!$A$5:$A$200,I68)=0),"고객 미등록",IF(AND(N68&lt;&gt;"",COUNTIF(고객코드!$A$5:$A$200,LEFT(N68,2))=0),"기본값 미등록",IF(AND(H68&lt;&gt;"",COUNTIF($B$5:$B$200,H68)=0),"이전 코드 없음","OK"))))))</f>
        <v/>
      </c>
    </row>
    <row r="69" spans="1:21" x14ac:dyDescent="0.3">
      <c r="A69" s="3" t="str">
        <f t="shared" ref="A69:A100" si="6">IF(B69="","",ROW()-4)</f>
        <v/>
      </c>
      <c r="B69" s="11"/>
      <c r="C69" s="5" t="str">
        <f>IF(B69="","",IFERROR(INDEX(코드목록!$C$2:$C$20,MATCH(LEFT(B69,1),코드목록!$B$2:$B$20,0)),"?"))</f>
        <v/>
      </c>
      <c r="D69" s="11"/>
      <c r="E69" s="11"/>
      <c r="F69" s="5" t="str">
        <f>IF(E69="","",IFERROR(INDEX(칩코드!$C$5:$C$60,MATCH(E69,칩코드!$A$5:$A$60,0)),"?"))</f>
        <v/>
      </c>
      <c r="G69" s="12"/>
      <c r="H69" s="11"/>
      <c r="I69" s="11"/>
      <c r="J69" s="11"/>
      <c r="K69" s="11"/>
      <c r="L69" s="12"/>
      <c r="M69" s="12"/>
      <c r="N69" s="11"/>
      <c r="O69" s="12"/>
      <c r="P69" s="12"/>
      <c r="Q69" s="12"/>
      <c r="R69" s="5" t="str">
        <f t="shared" ref="R69:R100" si="7">IF(OR(B69="",E69="",J69="",K69=""),"",E69&amp;"-"&amp;B69&amp;"-"&amp;J69&amp;"-"&amp;K69)</f>
        <v/>
      </c>
      <c r="S69" s="5" t="str">
        <f t="shared" ref="S69:S100" si="8">IF(R69="","","M2M_"&amp;R69&amp;"_AT-MM-"&amp;IF(M69="","UART",M69)&amp;"_V01.00_"&amp;IF(N69="","AC0",N69)&amp;"_0FN_YYMMDD.zip")</f>
        <v/>
      </c>
      <c r="T69" s="3" t="str">
        <f>IF(B69="","",IF(LEN(B69)&lt;&gt;3,"3자리 아님",IF(SUMPRODUCT(--ISERROR(FIND(MID(B69,{1,2,3},1),"ABCDEFGHIJKLMNOPQRSTUVWXYZ0123456789")))&gt;0,"문자 오류",IF(COUNTIF(코드목록!$B$2:$B$20,LEFT(B69,1))=0,"구분 오류",IF(AND(LEFT(B69,1)="M",RIGHT(B69,1)&lt;&gt;"0"),"모듈 리비전은 0",IF(AND(LEFT(B69,1)&lt;&gt;"M",RIGHT(B69,1)="0"),"리비전은 1부터",IF(COUNTIF($B$5:$B$200,B69)&gt;1,"중복","OK")))))))</f>
        <v/>
      </c>
      <c r="U69" s="3" t="str">
        <f>IF(B69="","",IF(COUNTIF(칩코드!$A$5:$A$60,E69)=0,"칩 미등록",IF(AND(OR(LEFT(B69,1)="C",LEFT(B69,1)="D"),I69=""),"고객 코드 필요",IF(AND(I69&lt;&gt;"",COUNTIF(고객코드!$A$5:$A$200,I69)=0),"고객 미등록",IF(AND(N69&lt;&gt;"",COUNTIF(고객코드!$A$5:$A$200,LEFT(N69,2))=0),"기본값 미등록",IF(AND(H69&lt;&gt;"",COUNTIF($B$5:$B$200,H69)=0),"이전 코드 없음","OK"))))))</f>
        <v/>
      </c>
    </row>
    <row r="70" spans="1:21" x14ac:dyDescent="0.3">
      <c r="A70" s="3" t="str">
        <f t="shared" si="6"/>
        <v/>
      </c>
      <c r="B70" s="11"/>
      <c r="C70" s="5" t="str">
        <f>IF(B70="","",IFERROR(INDEX(코드목록!$C$2:$C$20,MATCH(LEFT(B70,1),코드목록!$B$2:$B$20,0)),"?"))</f>
        <v/>
      </c>
      <c r="D70" s="11"/>
      <c r="E70" s="11"/>
      <c r="F70" s="5" t="str">
        <f>IF(E70="","",IFERROR(INDEX(칩코드!$C$5:$C$60,MATCH(E70,칩코드!$A$5:$A$60,0)),"?"))</f>
        <v/>
      </c>
      <c r="G70" s="12"/>
      <c r="H70" s="11"/>
      <c r="I70" s="11"/>
      <c r="J70" s="11"/>
      <c r="K70" s="11"/>
      <c r="L70" s="12"/>
      <c r="M70" s="12"/>
      <c r="N70" s="11"/>
      <c r="O70" s="12"/>
      <c r="P70" s="12"/>
      <c r="Q70" s="12"/>
      <c r="R70" s="5" t="str">
        <f t="shared" si="7"/>
        <v/>
      </c>
      <c r="S70" s="5" t="str">
        <f t="shared" si="8"/>
        <v/>
      </c>
      <c r="T70" s="3" t="str">
        <f>IF(B70="","",IF(LEN(B70)&lt;&gt;3,"3자리 아님",IF(SUMPRODUCT(--ISERROR(FIND(MID(B70,{1,2,3},1),"ABCDEFGHIJKLMNOPQRSTUVWXYZ0123456789")))&gt;0,"문자 오류",IF(COUNTIF(코드목록!$B$2:$B$20,LEFT(B70,1))=0,"구분 오류",IF(AND(LEFT(B70,1)="M",RIGHT(B70,1)&lt;&gt;"0"),"모듈 리비전은 0",IF(AND(LEFT(B70,1)&lt;&gt;"M",RIGHT(B70,1)="0"),"리비전은 1부터",IF(COUNTIF($B$5:$B$200,B70)&gt;1,"중복","OK")))))))</f>
        <v/>
      </c>
      <c r="U70" s="3" t="str">
        <f>IF(B70="","",IF(COUNTIF(칩코드!$A$5:$A$60,E70)=0,"칩 미등록",IF(AND(OR(LEFT(B70,1)="C",LEFT(B70,1)="D"),I70=""),"고객 코드 필요",IF(AND(I70&lt;&gt;"",COUNTIF(고객코드!$A$5:$A$200,I70)=0),"고객 미등록",IF(AND(N70&lt;&gt;"",COUNTIF(고객코드!$A$5:$A$200,LEFT(N70,2))=0),"기본값 미등록",IF(AND(H70&lt;&gt;"",COUNTIF($B$5:$B$200,H70)=0),"이전 코드 없음","OK"))))))</f>
        <v/>
      </c>
    </row>
    <row r="71" spans="1:21" x14ac:dyDescent="0.3">
      <c r="A71" s="3" t="str">
        <f t="shared" si="6"/>
        <v/>
      </c>
      <c r="B71" s="11"/>
      <c r="C71" s="5" t="str">
        <f>IF(B71="","",IFERROR(INDEX(코드목록!$C$2:$C$20,MATCH(LEFT(B71,1),코드목록!$B$2:$B$20,0)),"?"))</f>
        <v/>
      </c>
      <c r="D71" s="11"/>
      <c r="E71" s="11"/>
      <c r="F71" s="5" t="str">
        <f>IF(E71="","",IFERROR(INDEX(칩코드!$C$5:$C$60,MATCH(E71,칩코드!$A$5:$A$60,0)),"?"))</f>
        <v/>
      </c>
      <c r="G71" s="12"/>
      <c r="H71" s="11"/>
      <c r="I71" s="11"/>
      <c r="J71" s="11"/>
      <c r="K71" s="11"/>
      <c r="L71" s="12"/>
      <c r="M71" s="12"/>
      <c r="N71" s="11"/>
      <c r="O71" s="12"/>
      <c r="P71" s="12"/>
      <c r="Q71" s="12"/>
      <c r="R71" s="5" t="str">
        <f t="shared" si="7"/>
        <v/>
      </c>
      <c r="S71" s="5" t="str">
        <f t="shared" si="8"/>
        <v/>
      </c>
      <c r="T71" s="3" t="str">
        <f>IF(B71="","",IF(LEN(B71)&lt;&gt;3,"3자리 아님",IF(SUMPRODUCT(--ISERROR(FIND(MID(B71,{1,2,3},1),"ABCDEFGHIJKLMNOPQRSTUVWXYZ0123456789")))&gt;0,"문자 오류",IF(COUNTIF(코드목록!$B$2:$B$20,LEFT(B71,1))=0,"구분 오류",IF(AND(LEFT(B71,1)="M",RIGHT(B71,1)&lt;&gt;"0"),"모듈 리비전은 0",IF(AND(LEFT(B71,1)&lt;&gt;"M",RIGHT(B71,1)="0"),"리비전은 1부터",IF(COUNTIF($B$5:$B$200,B71)&gt;1,"중복","OK")))))))</f>
        <v/>
      </c>
      <c r="U71" s="3" t="str">
        <f>IF(B71="","",IF(COUNTIF(칩코드!$A$5:$A$60,E71)=0,"칩 미등록",IF(AND(OR(LEFT(B71,1)="C",LEFT(B71,1)="D"),I71=""),"고객 코드 필요",IF(AND(I71&lt;&gt;"",COUNTIF(고객코드!$A$5:$A$200,I71)=0),"고객 미등록",IF(AND(N71&lt;&gt;"",COUNTIF(고객코드!$A$5:$A$200,LEFT(N71,2))=0),"기본값 미등록",IF(AND(H71&lt;&gt;"",COUNTIF($B$5:$B$200,H71)=0),"이전 코드 없음","OK"))))))</f>
        <v/>
      </c>
    </row>
    <row r="72" spans="1:21" x14ac:dyDescent="0.3">
      <c r="A72" s="3" t="str">
        <f t="shared" si="6"/>
        <v/>
      </c>
      <c r="B72" s="11"/>
      <c r="C72" s="5" t="str">
        <f>IF(B72="","",IFERROR(INDEX(코드목록!$C$2:$C$20,MATCH(LEFT(B72,1),코드목록!$B$2:$B$20,0)),"?"))</f>
        <v/>
      </c>
      <c r="D72" s="11"/>
      <c r="E72" s="11"/>
      <c r="F72" s="5" t="str">
        <f>IF(E72="","",IFERROR(INDEX(칩코드!$C$5:$C$60,MATCH(E72,칩코드!$A$5:$A$60,0)),"?"))</f>
        <v/>
      </c>
      <c r="G72" s="12"/>
      <c r="H72" s="11"/>
      <c r="I72" s="11"/>
      <c r="J72" s="11"/>
      <c r="K72" s="11"/>
      <c r="L72" s="12"/>
      <c r="M72" s="12"/>
      <c r="N72" s="11"/>
      <c r="O72" s="12"/>
      <c r="P72" s="12"/>
      <c r="Q72" s="12"/>
      <c r="R72" s="5" t="str">
        <f t="shared" si="7"/>
        <v/>
      </c>
      <c r="S72" s="5" t="str">
        <f t="shared" si="8"/>
        <v/>
      </c>
      <c r="T72" s="3" t="str">
        <f>IF(B72="","",IF(LEN(B72)&lt;&gt;3,"3자리 아님",IF(SUMPRODUCT(--ISERROR(FIND(MID(B72,{1,2,3},1),"ABCDEFGHIJKLMNOPQRSTUVWXYZ0123456789")))&gt;0,"문자 오류",IF(COUNTIF(코드목록!$B$2:$B$20,LEFT(B72,1))=0,"구분 오류",IF(AND(LEFT(B72,1)="M",RIGHT(B72,1)&lt;&gt;"0"),"모듈 리비전은 0",IF(AND(LEFT(B72,1)&lt;&gt;"M",RIGHT(B72,1)="0"),"리비전은 1부터",IF(COUNTIF($B$5:$B$200,B72)&gt;1,"중복","OK")))))))</f>
        <v/>
      </c>
      <c r="U72" s="3" t="str">
        <f>IF(B72="","",IF(COUNTIF(칩코드!$A$5:$A$60,E72)=0,"칩 미등록",IF(AND(OR(LEFT(B72,1)="C",LEFT(B72,1)="D"),I72=""),"고객 코드 필요",IF(AND(I72&lt;&gt;"",COUNTIF(고객코드!$A$5:$A$200,I72)=0),"고객 미등록",IF(AND(N72&lt;&gt;"",COUNTIF(고객코드!$A$5:$A$200,LEFT(N72,2))=0),"기본값 미등록",IF(AND(H72&lt;&gt;"",COUNTIF($B$5:$B$200,H72)=0),"이전 코드 없음","OK"))))))</f>
        <v/>
      </c>
    </row>
    <row r="73" spans="1:21" x14ac:dyDescent="0.3">
      <c r="A73" s="3" t="str">
        <f t="shared" si="6"/>
        <v/>
      </c>
      <c r="B73" s="11"/>
      <c r="C73" s="5" t="str">
        <f>IF(B73="","",IFERROR(INDEX(코드목록!$C$2:$C$20,MATCH(LEFT(B73,1),코드목록!$B$2:$B$20,0)),"?"))</f>
        <v/>
      </c>
      <c r="D73" s="11"/>
      <c r="E73" s="11"/>
      <c r="F73" s="5" t="str">
        <f>IF(E73="","",IFERROR(INDEX(칩코드!$C$5:$C$60,MATCH(E73,칩코드!$A$5:$A$60,0)),"?"))</f>
        <v/>
      </c>
      <c r="G73" s="12"/>
      <c r="H73" s="11"/>
      <c r="I73" s="11"/>
      <c r="J73" s="11"/>
      <c r="K73" s="11"/>
      <c r="L73" s="12"/>
      <c r="M73" s="12"/>
      <c r="N73" s="11"/>
      <c r="O73" s="12"/>
      <c r="P73" s="12"/>
      <c r="Q73" s="12"/>
      <c r="R73" s="5" t="str">
        <f t="shared" si="7"/>
        <v/>
      </c>
      <c r="S73" s="5" t="str">
        <f t="shared" si="8"/>
        <v/>
      </c>
      <c r="T73" s="3" t="str">
        <f>IF(B73="","",IF(LEN(B73)&lt;&gt;3,"3자리 아님",IF(SUMPRODUCT(--ISERROR(FIND(MID(B73,{1,2,3},1),"ABCDEFGHIJKLMNOPQRSTUVWXYZ0123456789")))&gt;0,"문자 오류",IF(COUNTIF(코드목록!$B$2:$B$20,LEFT(B73,1))=0,"구분 오류",IF(AND(LEFT(B73,1)="M",RIGHT(B73,1)&lt;&gt;"0"),"모듈 리비전은 0",IF(AND(LEFT(B73,1)&lt;&gt;"M",RIGHT(B73,1)="0"),"리비전은 1부터",IF(COUNTIF($B$5:$B$200,B73)&gt;1,"중복","OK")))))))</f>
        <v/>
      </c>
      <c r="U73" s="3" t="str">
        <f>IF(B73="","",IF(COUNTIF(칩코드!$A$5:$A$60,E73)=0,"칩 미등록",IF(AND(OR(LEFT(B73,1)="C",LEFT(B73,1)="D"),I73=""),"고객 코드 필요",IF(AND(I73&lt;&gt;"",COUNTIF(고객코드!$A$5:$A$200,I73)=0),"고객 미등록",IF(AND(N73&lt;&gt;"",COUNTIF(고객코드!$A$5:$A$200,LEFT(N73,2))=0),"기본값 미등록",IF(AND(H73&lt;&gt;"",COUNTIF($B$5:$B$200,H73)=0),"이전 코드 없음","OK"))))))</f>
        <v/>
      </c>
    </row>
    <row r="74" spans="1:21" x14ac:dyDescent="0.3">
      <c r="A74" s="3" t="str">
        <f t="shared" si="6"/>
        <v/>
      </c>
      <c r="B74" s="11"/>
      <c r="C74" s="5" t="str">
        <f>IF(B74="","",IFERROR(INDEX(코드목록!$C$2:$C$20,MATCH(LEFT(B74,1),코드목록!$B$2:$B$20,0)),"?"))</f>
        <v/>
      </c>
      <c r="D74" s="11"/>
      <c r="E74" s="11"/>
      <c r="F74" s="5" t="str">
        <f>IF(E74="","",IFERROR(INDEX(칩코드!$C$5:$C$60,MATCH(E74,칩코드!$A$5:$A$60,0)),"?"))</f>
        <v/>
      </c>
      <c r="G74" s="12"/>
      <c r="H74" s="11"/>
      <c r="I74" s="11"/>
      <c r="J74" s="11"/>
      <c r="K74" s="11"/>
      <c r="L74" s="12"/>
      <c r="M74" s="12"/>
      <c r="N74" s="11"/>
      <c r="O74" s="12"/>
      <c r="P74" s="12"/>
      <c r="Q74" s="12"/>
      <c r="R74" s="5" t="str">
        <f t="shared" si="7"/>
        <v/>
      </c>
      <c r="S74" s="5" t="str">
        <f t="shared" si="8"/>
        <v/>
      </c>
      <c r="T74" s="3" t="str">
        <f>IF(B74="","",IF(LEN(B74)&lt;&gt;3,"3자리 아님",IF(SUMPRODUCT(--ISERROR(FIND(MID(B74,{1,2,3},1),"ABCDEFGHIJKLMNOPQRSTUVWXYZ0123456789")))&gt;0,"문자 오류",IF(COUNTIF(코드목록!$B$2:$B$20,LEFT(B74,1))=0,"구분 오류",IF(AND(LEFT(B74,1)="M",RIGHT(B74,1)&lt;&gt;"0"),"모듈 리비전은 0",IF(AND(LEFT(B74,1)&lt;&gt;"M",RIGHT(B74,1)="0"),"리비전은 1부터",IF(COUNTIF($B$5:$B$200,B74)&gt;1,"중복","OK")))))))</f>
        <v/>
      </c>
      <c r="U74" s="3" t="str">
        <f>IF(B74="","",IF(COUNTIF(칩코드!$A$5:$A$60,E74)=0,"칩 미등록",IF(AND(OR(LEFT(B74,1)="C",LEFT(B74,1)="D"),I74=""),"고객 코드 필요",IF(AND(I74&lt;&gt;"",COUNTIF(고객코드!$A$5:$A$200,I74)=0),"고객 미등록",IF(AND(N74&lt;&gt;"",COUNTIF(고객코드!$A$5:$A$200,LEFT(N74,2))=0),"기본값 미등록",IF(AND(H74&lt;&gt;"",COUNTIF($B$5:$B$200,H74)=0),"이전 코드 없음","OK"))))))</f>
        <v/>
      </c>
    </row>
    <row r="75" spans="1:21" x14ac:dyDescent="0.3">
      <c r="A75" s="3" t="str">
        <f t="shared" si="6"/>
        <v/>
      </c>
      <c r="B75" s="11"/>
      <c r="C75" s="5" t="str">
        <f>IF(B75="","",IFERROR(INDEX(코드목록!$C$2:$C$20,MATCH(LEFT(B75,1),코드목록!$B$2:$B$20,0)),"?"))</f>
        <v/>
      </c>
      <c r="D75" s="11"/>
      <c r="E75" s="11"/>
      <c r="F75" s="5" t="str">
        <f>IF(E75="","",IFERROR(INDEX(칩코드!$C$5:$C$60,MATCH(E75,칩코드!$A$5:$A$60,0)),"?"))</f>
        <v/>
      </c>
      <c r="G75" s="12"/>
      <c r="H75" s="11"/>
      <c r="I75" s="11"/>
      <c r="J75" s="11"/>
      <c r="K75" s="11"/>
      <c r="L75" s="12"/>
      <c r="M75" s="12"/>
      <c r="N75" s="11"/>
      <c r="O75" s="12"/>
      <c r="P75" s="12"/>
      <c r="Q75" s="12"/>
      <c r="R75" s="5" t="str">
        <f t="shared" si="7"/>
        <v/>
      </c>
      <c r="S75" s="5" t="str">
        <f t="shared" si="8"/>
        <v/>
      </c>
      <c r="T75" s="3" t="str">
        <f>IF(B75="","",IF(LEN(B75)&lt;&gt;3,"3자리 아님",IF(SUMPRODUCT(--ISERROR(FIND(MID(B75,{1,2,3},1),"ABCDEFGHIJKLMNOPQRSTUVWXYZ0123456789")))&gt;0,"문자 오류",IF(COUNTIF(코드목록!$B$2:$B$20,LEFT(B75,1))=0,"구분 오류",IF(AND(LEFT(B75,1)="M",RIGHT(B75,1)&lt;&gt;"0"),"모듈 리비전은 0",IF(AND(LEFT(B75,1)&lt;&gt;"M",RIGHT(B75,1)="0"),"리비전은 1부터",IF(COUNTIF($B$5:$B$200,B75)&gt;1,"중복","OK")))))))</f>
        <v/>
      </c>
      <c r="U75" s="3" t="str">
        <f>IF(B75="","",IF(COUNTIF(칩코드!$A$5:$A$60,E75)=0,"칩 미등록",IF(AND(OR(LEFT(B75,1)="C",LEFT(B75,1)="D"),I75=""),"고객 코드 필요",IF(AND(I75&lt;&gt;"",COUNTIF(고객코드!$A$5:$A$200,I75)=0),"고객 미등록",IF(AND(N75&lt;&gt;"",COUNTIF(고객코드!$A$5:$A$200,LEFT(N75,2))=0),"기본값 미등록",IF(AND(H75&lt;&gt;"",COUNTIF($B$5:$B$200,H75)=0),"이전 코드 없음","OK"))))))</f>
        <v/>
      </c>
    </row>
    <row r="76" spans="1:21" x14ac:dyDescent="0.3">
      <c r="A76" s="3" t="str">
        <f t="shared" si="6"/>
        <v/>
      </c>
      <c r="B76" s="11"/>
      <c r="C76" s="5" t="str">
        <f>IF(B76="","",IFERROR(INDEX(코드목록!$C$2:$C$20,MATCH(LEFT(B76,1),코드목록!$B$2:$B$20,0)),"?"))</f>
        <v/>
      </c>
      <c r="D76" s="11"/>
      <c r="E76" s="11"/>
      <c r="F76" s="5" t="str">
        <f>IF(E76="","",IFERROR(INDEX(칩코드!$C$5:$C$60,MATCH(E76,칩코드!$A$5:$A$60,0)),"?"))</f>
        <v/>
      </c>
      <c r="G76" s="12"/>
      <c r="H76" s="11"/>
      <c r="I76" s="11"/>
      <c r="J76" s="11"/>
      <c r="K76" s="11"/>
      <c r="L76" s="12"/>
      <c r="M76" s="12"/>
      <c r="N76" s="11"/>
      <c r="O76" s="12"/>
      <c r="P76" s="12"/>
      <c r="Q76" s="12"/>
      <c r="R76" s="5" t="str">
        <f t="shared" si="7"/>
        <v/>
      </c>
      <c r="S76" s="5" t="str">
        <f t="shared" si="8"/>
        <v/>
      </c>
      <c r="T76" s="3" t="str">
        <f>IF(B76="","",IF(LEN(B76)&lt;&gt;3,"3자리 아님",IF(SUMPRODUCT(--ISERROR(FIND(MID(B76,{1,2,3},1),"ABCDEFGHIJKLMNOPQRSTUVWXYZ0123456789")))&gt;0,"문자 오류",IF(COUNTIF(코드목록!$B$2:$B$20,LEFT(B76,1))=0,"구분 오류",IF(AND(LEFT(B76,1)="M",RIGHT(B76,1)&lt;&gt;"0"),"모듈 리비전은 0",IF(AND(LEFT(B76,1)&lt;&gt;"M",RIGHT(B76,1)="0"),"리비전은 1부터",IF(COUNTIF($B$5:$B$200,B76)&gt;1,"중복","OK")))))))</f>
        <v/>
      </c>
      <c r="U76" s="3" t="str">
        <f>IF(B76="","",IF(COUNTIF(칩코드!$A$5:$A$60,E76)=0,"칩 미등록",IF(AND(OR(LEFT(B76,1)="C",LEFT(B76,1)="D"),I76=""),"고객 코드 필요",IF(AND(I76&lt;&gt;"",COUNTIF(고객코드!$A$5:$A$200,I76)=0),"고객 미등록",IF(AND(N76&lt;&gt;"",COUNTIF(고객코드!$A$5:$A$200,LEFT(N76,2))=0),"기본값 미등록",IF(AND(H76&lt;&gt;"",COUNTIF($B$5:$B$200,H76)=0),"이전 코드 없음","OK"))))))</f>
        <v/>
      </c>
    </row>
    <row r="77" spans="1:21" x14ac:dyDescent="0.3">
      <c r="A77" s="3" t="str">
        <f t="shared" si="6"/>
        <v/>
      </c>
      <c r="B77" s="11"/>
      <c r="C77" s="5" t="str">
        <f>IF(B77="","",IFERROR(INDEX(코드목록!$C$2:$C$20,MATCH(LEFT(B77,1),코드목록!$B$2:$B$20,0)),"?"))</f>
        <v/>
      </c>
      <c r="D77" s="11"/>
      <c r="E77" s="11"/>
      <c r="F77" s="5" t="str">
        <f>IF(E77="","",IFERROR(INDEX(칩코드!$C$5:$C$60,MATCH(E77,칩코드!$A$5:$A$60,0)),"?"))</f>
        <v/>
      </c>
      <c r="G77" s="12"/>
      <c r="H77" s="11"/>
      <c r="I77" s="11"/>
      <c r="J77" s="11"/>
      <c r="K77" s="11"/>
      <c r="L77" s="12"/>
      <c r="M77" s="12"/>
      <c r="N77" s="11"/>
      <c r="O77" s="12"/>
      <c r="P77" s="12"/>
      <c r="Q77" s="12"/>
      <c r="R77" s="5" t="str">
        <f t="shared" si="7"/>
        <v/>
      </c>
      <c r="S77" s="5" t="str">
        <f t="shared" si="8"/>
        <v/>
      </c>
      <c r="T77" s="3" t="str">
        <f>IF(B77="","",IF(LEN(B77)&lt;&gt;3,"3자리 아님",IF(SUMPRODUCT(--ISERROR(FIND(MID(B77,{1,2,3},1),"ABCDEFGHIJKLMNOPQRSTUVWXYZ0123456789")))&gt;0,"문자 오류",IF(COUNTIF(코드목록!$B$2:$B$20,LEFT(B77,1))=0,"구분 오류",IF(AND(LEFT(B77,1)="M",RIGHT(B77,1)&lt;&gt;"0"),"모듈 리비전은 0",IF(AND(LEFT(B77,1)&lt;&gt;"M",RIGHT(B77,1)="0"),"리비전은 1부터",IF(COUNTIF($B$5:$B$200,B77)&gt;1,"중복","OK")))))))</f>
        <v/>
      </c>
      <c r="U77" s="3" t="str">
        <f>IF(B77="","",IF(COUNTIF(칩코드!$A$5:$A$60,E77)=0,"칩 미등록",IF(AND(OR(LEFT(B77,1)="C",LEFT(B77,1)="D"),I77=""),"고객 코드 필요",IF(AND(I77&lt;&gt;"",COUNTIF(고객코드!$A$5:$A$200,I77)=0),"고객 미등록",IF(AND(N77&lt;&gt;"",COUNTIF(고객코드!$A$5:$A$200,LEFT(N77,2))=0),"기본값 미등록",IF(AND(H77&lt;&gt;"",COUNTIF($B$5:$B$200,H77)=0),"이전 코드 없음","OK"))))))</f>
        <v/>
      </c>
    </row>
    <row r="78" spans="1:21" x14ac:dyDescent="0.3">
      <c r="A78" s="3" t="str">
        <f t="shared" si="6"/>
        <v/>
      </c>
      <c r="B78" s="11"/>
      <c r="C78" s="5" t="str">
        <f>IF(B78="","",IFERROR(INDEX(코드목록!$C$2:$C$20,MATCH(LEFT(B78,1),코드목록!$B$2:$B$20,0)),"?"))</f>
        <v/>
      </c>
      <c r="D78" s="11"/>
      <c r="E78" s="11"/>
      <c r="F78" s="5" t="str">
        <f>IF(E78="","",IFERROR(INDEX(칩코드!$C$5:$C$60,MATCH(E78,칩코드!$A$5:$A$60,0)),"?"))</f>
        <v/>
      </c>
      <c r="G78" s="12"/>
      <c r="H78" s="11"/>
      <c r="I78" s="11"/>
      <c r="J78" s="11"/>
      <c r="K78" s="11"/>
      <c r="L78" s="12"/>
      <c r="M78" s="12"/>
      <c r="N78" s="11"/>
      <c r="O78" s="12"/>
      <c r="P78" s="12"/>
      <c r="Q78" s="12"/>
      <c r="R78" s="5" t="str">
        <f t="shared" si="7"/>
        <v/>
      </c>
      <c r="S78" s="5" t="str">
        <f t="shared" si="8"/>
        <v/>
      </c>
      <c r="T78" s="3" t="str">
        <f>IF(B78="","",IF(LEN(B78)&lt;&gt;3,"3자리 아님",IF(SUMPRODUCT(--ISERROR(FIND(MID(B78,{1,2,3},1),"ABCDEFGHIJKLMNOPQRSTUVWXYZ0123456789")))&gt;0,"문자 오류",IF(COUNTIF(코드목록!$B$2:$B$20,LEFT(B78,1))=0,"구분 오류",IF(AND(LEFT(B78,1)="M",RIGHT(B78,1)&lt;&gt;"0"),"모듈 리비전은 0",IF(AND(LEFT(B78,1)&lt;&gt;"M",RIGHT(B78,1)="0"),"리비전은 1부터",IF(COUNTIF($B$5:$B$200,B78)&gt;1,"중복","OK")))))))</f>
        <v/>
      </c>
      <c r="U78" s="3" t="str">
        <f>IF(B78="","",IF(COUNTIF(칩코드!$A$5:$A$60,E78)=0,"칩 미등록",IF(AND(OR(LEFT(B78,1)="C",LEFT(B78,1)="D"),I78=""),"고객 코드 필요",IF(AND(I78&lt;&gt;"",COUNTIF(고객코드!$A$5:$A$200,I78)=0),"고객 미등록",IF(AND(N78&lt;&gt;"",COUNTIF(고객코드!$A$5:$A$200,LEFT(N78,2))=0),"기본값 미등록",IF(AND(H78&lt;&gt;"",COUNTIF($B$5:$B$200,H78)=0),"이전 코드 없음","OK"))))))</f>
        <v/>
      </c>
    </row>
    <row r="79" spans="1:21" x14ac:dyDescent="0.3">
      <c r="A79" s="3" t="str">
        <f t="shared" si="6"/>
        <v/>
      </c>
      <c r="B79" s="11"/>
      <c r="C79" s="5" t="str">
        <f>IF(B79="","",IFERROR(INDEX(코드목록!$C$2:$C$20,MATCH(LEFT(B79,1),코드목록!$B$2:$B$20,0)),"?"))</f>
        <v/>
      </c>
      <c r="D79" s="11"/>
      <c r="E79" s="11"/>
      <c r="F79" s="5" t="str">
        <f>IF(E79="","",IFERROR(INDEX(칩코드!$C$5:$C$60,MATCH(E79,칩코드!$A$5:$A$60,0)),"?"))</f>
        <v/>
      </c>
      <c r="G79" s="12"/>
      <c r="H79" s="11"/>
      <c r="I79" s="11"/>
      <c r="J79" s="11"/>
      <c r="K79" s="11"/>
      <c r="L79" s="12"/>
      <c r="M79" s="12"/>
      <c r="N79" s="11"/>
      <c r="O79" s="12"/>
      <c r="P79" s="12"/>
      <c r="Q79" s="12"/>
      <c r="R79" s="5" t="str">
        <f t="shared" si="7"/>
        <v/>
      </c>
      <c r="S79" s="5" t="str">
        <f t="shared" si="8"/>
        <v/>
      </c>
      <c r="T79" s="3" t="str">
        <f>IF(B79="","",IF(LEN(B79)&lt;&gt;3,"3자리 아님",IF(SUMPRODUCT(--ISERROR(FIND(MID(B79,{1,2,3},1),"ABCDEFGHIJKLMNOPQRSTUVWXYZ0123456789")))&gt;0,"문자 오류",IF(COUNTIF(코드목록!$B$2:$B$20,LEFT(B79,1))=0,"구분 오류",IF(AND(LEFT(B79,1)="M",RIGHT(B79,1)&lt;&gt;"0"),"모듈 리비전은 0",IF(AND(LEFT(B79,1)&lt;&gt;"M",RIGHT(B79,1)="0"),"리비전은 1부터",IF(COUNTIF($B$5:$B$200,B79)&gt;1,"중복","OK")))))))</f>
        <v/>
      </c>
      <c r="U79" s="3" t="str">
        <f>IF(B79="","",IF(COUNTIF(칩코드!$A$5:$A$60,E79)=0,"칩 미등록",IF(AND(OR(LEFT(B79,1)="C",LEFT(B79,1)="D"),I79=""),"고객 코드 필요",IF(AND(I79&lt;&gt;"",COUNTIF(고객코드!$A$5:$A$200,I79)=0),"고객 미등록",IF(AND(N79&lt;&gt;"",COUNTIF(고객코드!$A$5:$A$200,LEFT(N79,2))=0),"기본값 미등록",IF(AND(H79&lt;&gt;"",COUNTIF($B$5:$B$200,H79)=0),"이전 코드 없음","OK"))))))</f>
        <v/>
      </c>
    </row>
    <row r="80" spans="1:21" x14ac:dyDescent="0.3">
      <c r="A80" s="3" t="str">
        <f t="shared" si="6"/>
        <v/>
      </c>
      <c r="B80" s="11"/>
      <c r="C80" s="5" t="str">
        <f>IF(B80="","",IFERROR(INDEX(코드목록!$C$2:$C$20,MATCH(LEFT(B80,1),코드목록!$B$2:$B$20,0)),"?"))</f>
        <v/>
      </c>
      <c r="D80" s="11"/>
      <c r="E80" s="11"/>
      <c r="F80" s="5" t="str">
        <f>IF(E80="","",IFERROR(INDEX(칩코드!$C$5:$C$60,MATCH(E80,칩코드!$A$5:$A$60,0)),"?"))</f>
        <v/>
      </c>
      <c r="G80" s="12"/>
      <c r="H80" s="11"/>
      <c r="I80" s="11"/>
      <c r="J80" s="11"/>
      <c r="K80" s="11"/>
      <c r="L80" s="12"/>
      <c r="M80" s="12"/>
      <c r="N80" s="11"/>
      <c r="O80" s="12"/>
      <c r="P80" s="12"/>
      <c r="Q80" s="12"/>
      <c r="R80" s="5" t="str">
        <f t="shared" si="7"/>
        <v/>
      </c>
      <c r="S80" s="5" t="str">
        <f t="shared" si="8"/>
        <v/>
      </c>
      <c r="T80" s="3" t="str">
        <f>IF(B80="","",IF(LEN(B80)&lt;&gt;3,"3자리 아님",IF(SUMPRODUCT(--ISERROR(FIND(MID(B80,{1,2,3},1),"ABCDEFGHIJKLMNOPQRSTUVWXYZ0123456789")))&gt;0,"문자 오류",IF(COUNTIF(코드목록!$B$2:$B$20,LEFT(B80,1))=0,"구분 오류",IF(AND(LEFT(B80,1)="M",RIGHT(B80,1)&lt;&gt;"0"),"모듈 리비전은 0",IF(AND(LEFT(B80,1)&lt;&gt;"M",RIGHT(B80,1)="0"),"리비전은 1부터",IF(COUNTIF($B$5:$B$200,B80)&gt;1,"중복","OK")))))))</f>
        <v/>
      </c>
      <c r="U80" s="3" t="str">
        <f>IF(B80="","",IF(COUNTIF(칩코드!$A$5:$A$60,E80)=0,"칩 미등록",IF(AND(OR(LEFT(B80,1)="C",LEFT(B80,1)="D"),I80=""),"고객 코드 필요",IF(AND(I80&lt;&gt;"",COUNTIF(고객코드!$A$5:$A$200,I80)=0),"고객 미등록",IF(AND(N80&lt;&gt;"",COUNTIF(고객코드!$A$5:$A$200,LEFT(N80,2))=0),"기본값 미등록",IF(AND(H80&lt;&gt;"",COUNTIF($B$5:$B$200,H80)=0),"이전 코드 없음","OK"))))))</f>
        <v/>
      </c>
    </row>
    <row r="81" spans="1:21" x14ac:dyDescent="0.3">
      <c r="A81" s="3" t="str">
        <f t="shared" si="6"/>
        <v/>
      </c>
      <c r="B81" s="11"/>
      <c r="C81" s="5" t="str">
        <f>IF(B81="","",IFERROR(INDEX(코드목록!$C$2:$C$20,MATCH(LEFT(B81,1),코드목록!$B$2:$B$20,0)),"?"))</f>
        <v/>
      </c>
      <c r="D81" s="11"/>
      <c r="E81" s="11"/>
      <c r="F81" s="5" t="str">
        <f>IF(E81="","",IFERROR(INDEX(칩코드!$C$5:$C$60,MATCH(E81,칩코드!$A$5:$A$60,0)),"?"))</f>
        <v/>
      </c>
      <c r="G81" s="12"/>
      <c r="H81" s="11"/>
      <c r="I81" s="11"/>
      <c r="J81" s="11"/>
      <c r="K81" s="11"/>
      <c r="L81" s="12"/>
      <c r="M81" s="12"/>
      <c r="N81" s="11"/>
      <c r="O81" s="12"/>
      <c r="P81" s="12"/>
      <c r="Q81" s="12"/>
      <c r="R81" s="5" t="str">
        <f t="shared" si="7"/>
        <v/>
      </c>
      <c r="S81" s="5" t="str">
        <f t="shared" si="8"/>
        <v/>
      </c>
      <c r="T81" s="3" t="str">
        <f>IF(B81="","",IF(LEN(B81)&lt;&gt;3,"3자리 아님",IF(SUMPRODUCT(--ISERROR(FIND(MID(B81,{1,2,3},1),"ABCDEFGHIJKLMNOPQRSTUVWXYZ0123456789")))&gt;0,"문자 오류",IF(COUNTIF(코드목록!$B$2:$B$20,LEFT(B81,1))=0,"구분 오류",IF(AND(LEFT(B81,1)="M",RIGHT(B81,1)&lt;&gt;"0"),"모듈 리비전은 0",IF(AND(LEFT(B81,1)&lt;&gt;"M",RIGHT(B81,1)="0"),"리비전은 1부터",IF(COUNTIF($B$5:$B$200,B81)&gt;1,"중복","OK")))))))</f>
        <v/>
      </c>
      <c r="U81" s="3" t="str">
        <f>IF(B81="","",IF(COUNTIF(칩코드!$A$5:$A$60,E81)=0,"칩 미등록",IF(AND(OR(LEFT(B81,1)="C",LEFT(B81,1)="D"),I81=""),"고객 코드 필요",IF(AND(I81&lt;&gt;"",COUNTIF(고객코드!$A$5:$A$200,I81)=0),"고객 미등록",IF(AND(N81&lt;&gt;"",COUNTIF(고객코드!$A$5:$A$200,LEFT(N81,2))=0),"기본값 미등록",IF(AND(H81&lt;&gt;"",COUNTIF($B$5:$B$200,H81)=0),"이전 코드 없음","OK"))))))</f>
        <v/>
      </c>
    </row>
    <row r="82" spans="1:21" x14ac:dyDescent="0.3">
      <c r="A82" s="3" t="str">
        <f t="shared" si="6"/>
        <v/>
      </c>
      <c r="B82" s="11"/>
      <c r="C82" s="5" t="str">
        <f>IF(B82="","",IFERROR(INDEX(코드목록!$C$2:$C$20,MATCH(LEFT(B82,1),코드목록!$B$2:$B$20,0)),"?"))</f>
        <v/>
      </c>
      <c r="D82" s="11"/>
      <c r="E82" s="11"/>
      <c r="F82" s="5" t="str">
        <f>IF(E82="","",IFERROR(INDEX(칩코드!$C$5:$C$60,MATCH(E82,칩코드!$A$5:$A$60,0)),"?"))</f>
        <v/>
      </c>
      <c r="G82" s="12"/>
      <c r="H82" s="11"/>
      <c r="I82" s="11"/>
      <c r="J82" s="11"/>
      <c r="K82" s="11"/>
      <c r="L82" s="12"/>
      <c r="M82" s="12"/>
      <c r="N82" s="11"/>
      <c r="O82" s="12"/>
      <c r="P82" s="12"/>
      <c r="Q82" s="12"/>
      <c r="R82" s="5" t="str">
        <f t="shared" si="7"/>
        <v/>
      </c>
      <c r="S82" s="5" t="str">
        <f t="shared" si="8"/>
        <v/>
      </c>
      <c r="T82" s="3" t="str">
        <f>IF(B82="","",IF(LEN(B82)&lt;&gt;3,"3자리 아님",IF(SUMPRODUCT(--ISERROR(FIND(MID(B82,{1,2,3},1),"ABCDEFGHIJKLMNOPQRSTUVWXYZ0123456789")))&gt;0,"문자 오류",IF(COUNTIF(코드목록!$B$2:$B$20,LEFT(B82,1))=0,"구분 오류",IF(AND(LEFT(B82,1)="M",RIGHT(B82,1)&lt;&gt;"0"),"모듈 리비전은 0",IF(AND(LEFT(B82,1)&lt;&gt;"M",RIGHT(B82,1)="0"),"리비전은 1부터",IF(COUNTIF($B$5:$B$200,B82)&gt;1,"중복","OK")))))))</f>
        <v/>
      </c>
      <c r="U82" s="3" t="str">
        <f>IF(B82="","",IF(COUNTIF(칩코드!$A$5:$A$60,E82)=0,"칩 미등록",IF(AND(OR(LEFT(B82,1)="C",LEFT(B82,1)="D"),I82=""),"고객 코드 필요",IF(AND(I82&lt;&gt;"",COUNTIF(고객코드!$A$5:$A$200,I82)=0),"고객 미등록",IF(AND(N82&lt;&gt;"",COUNTIF(고객코드!$A$5:$A$200,LEFT(N82,2))=0),"기본값 미등록",IF(AND(H82&lt;&gt;"",COUNTIF($B$5:$B$200,H82)=0),"이전 코드 없음","OK"))))))</f>
        <v/>
      </c>
    </row>
    <row r="83" spans="1:21" x14ac:dyDescent="0.3">
      <c r="A83" s="3" t="str">
        <f t="shared" si="6"/>
        <v/>
      </c>
      <c r="B83" s="11"/>
      <c r="C83" s="5" t="str">
        <f>IF(B83="","",IFERROR(INDEX(코드목록!$C$2:$C$20,MATCH(LEFT(B83,1),코드목록!$B$2:$B$20,0)),"?"))</f>
        <v/>
      </c>
      <c r="D83" s="11"/>
      <c r="E83" s="11"/>
      <c r="F83" s="5" t="str">
        <f>IF(E83="","",IFERROR(INDEX(칩코드!$C$5:$C$60,MATCH(E83,칩코드!$A$5:$A$60,0)),"?"))</f>
        <v/>
      </c>
      <c r="G83" s="12"/>
      <c r="H83" s="11"/>
      <c r="I83" s="11"/>
      <c r="J83" s="11"/>
      <c r="K83" s="11"/>
      <c r="L83" s="12"/>
      <c r="M83" s="12"/>
      <c r="N83" s="11"/>
      <c r="O83" s="12"/>
      <c r="P83" s="12"/>
      <c r="Q83" s="12"/>
      <c r="R83" s="5" t="str">
        <f t="shared" si="7"/>
        <v/>
      </c>
      <c r="S83" s="5" t="str">
        <f t="shared" si="8"/>
        <v/>
      </c>
      <c r="T83" s="3" t="str">
        <f>IF(B83="","",IF(LEN(B83)&lt;&gt;3,"3자리 아님",IF(SUMPRODUCT(--ISERROR(FIND(MID(B83,{1,2,3},1),"ABCDEFGHIJKLMNOPQRSTUVWXYZ0123456789")))&gt;0,"문자 오류",IF(COUNTIF(코드목록!$B$2:$B$20,LEFT(B83,1))=0,"구분 오류",IF(AND(LEFT(B83,1)="M",RIGHT(B83,1)&lt;&gt;"0"),"모듈 리비전은 0",IF(AND(LEFT(B83,1)&lt;&gt;"M",RIGHT(B83,1)="0"),"리비전은 1부터",IF(COUNTIF($B$5:$B$200,B83)&gt;1,"중복","OK")))))))</f>
        <v/>
      </c>
      <c r="U83" s="3" t="str">
        <f>IF(B83="","",IF(COUNTIF(칩코드!$A$5:$A$60,E83)=0,"칩 미등록",IF(AND(OR(LEFT(B83,1)="C",LEFT(B83,1)="D"),I83=""),"고객 코드 필요",IF(AND(I83&lt;&gt;"",COUNTIF(고객코드!$A$5:$A$200,I83)=0),"고객 미등록",IF(AND(N83&lt;&gt;"",COUNTIF(고객코드!$A$5:$A$200,LEFT(N83,2))=0),"기본값 미등록",IF(AND(H83&lt;&gt;"",COUNTIF($B$5:$B$200,H83)=0),"이전 코드 없음","OK"))))))</f>
        <v/>
      </c>
    </row>
    <row r="84" spans="1:21" x14ac:dyDescent="0.3">
      <c r="A84" s="3" t="str">
        <f t="shared" si="6"/>
        <v/>
      </c>
      <c r="B84" s="11"/>
      <c r="C84" s="5" t="str">
        <f>IF(B84="","",IFERROR(INDEX(코드목록!$C$2:$C$20,MATCH(LEFT(B84,1),코드목록!$B$2:$B$20,0)),"?"))</f>
        <v/>
      </c>
      <c r="D84" s="11"/>
      <c r="E84" s="11"/>
      <c r="F84" s="5" t="str">
        <f>IF(E84="","",IFERROR(INDEX(칩코드!$C$5:$C$60,MATCH(E84,칩코드!$A$5:$A$60,0)),"?"))</f>
        <v/>
      </c>
      <c r="G84" s="12"/>
      <c r="H84" s="11"/>
      <c r="I84" s="11"/>
      <c r="J84" s="11"/>
      <c r="K84" s="11"/>
      <c r="L84" s="12"/>
      <c r="M84" s="12"/>
      <c r="N84" s="11"/>
      <c r="O84" s="12"/>
      <c r="P84" s="12"/>
      <c r="Q84" s="12"/>
      <c r="R84" s="5" t="str">
        <f t="shared" si="7"/>
        <v/>
      </c>
      <c r="S84" s="5" t="str">
        <f t="shared" si="8"/>
        <v/>
      </c>
      <c r="T84" s="3" t="str">
        <f>IF(B84="","",IF(LEN(B84)&lt;&gt;3,"3자리 아님",IF(SUMPRODUCT(--ISERROR(FIND(MID(B84,{1,2,3},1),"ABCDEFGHIJKLMNOPQRSTUVWXYZ0123456789")))&gt;0,"문자 오류",IF(COUNTIF(코드목록!$B$2:$B$20,LEFT(B84,1))=0,"구분 오류",IF(AND(LEFT(B84,1)="M",RIGHT(B84,1)&lt;&gt;"0"),"모듈 리비전은 0",IF(AND(LEFT(B84,1)&lt;&gt;"M",RIGHT(B84,1)="0"),"리비전은 1부터",IF(COUNTIF($B$5:$B$200,B84)&gt;1,"중복","OK")))))))</f>
        <v/>
      </c>
      <c r="U84" s="3" t="str">
        <f>IF(B84="","",IF(COUNTIF(칩코드!$A$5:$A$60,E84)=0,"칩 미등록",IF(AND(OR(LEFT(B84,1)="C",LEFT(B84,1)="D"),I84=""),"고객 코드 필요",IF(AND(I84&lt;&gt;"",COUNTIF(고객코드!$A$5:$A$200,I84)=0),"고객 미등록",IF(AND(N84&lt;&gt;"",COUNTIF(고객코드!$A$5:$A$200,LEFT(N84,2))=0),"기본값 미등록",IF(AND(H84&lt;&gt;"",COUNTIF($B$5:$B$200,H84)=0),"이전 코드 없음","OK"))))))</f>
        <v/>
      </c>
    </row>
    <row r="85" spans="1:21" x14ac:dyDescent="0.3">
      <c r="A85" s="3" t="str">
        <f t="shared" si="6"/>
        <v/>
      </c>
      <c r="B85" s="11"/>
      <c r="C85" s="5" t="str">
        <f>IF(B85="","",IFERROR(INDEX(코드목록!$C$2:$C$20,MATCH(LEFT(B85,1),코드목록!$B$2:$B$20,0)),"?"))</f>
        <v/>
      </c>
      <c r="D85" s="11"/>
      <c r="E85" s="11"/>
      <c r="F85" s="5" t="str">
        <f>IF(E85="","",IFERROR(INDEX(칩코드!$C$5:$C$60,MATCH(E85,칩코드!$A$5:$A$60,0)),"?"))</f>
        <v/>
      </c>
      <c r="G85" s="12"/>
      <c r="H85" s="11"/>
      <c r="I85" s="11"/>
      <c r="J85" s="11"/>
      <c r="K85" s="11"/>
      <c r="L85" s="12"/>
      <c r="M85" s="12"/>
      <c r="N85" s="11"/>
      <c r="O85" s="12"/>
      <c r="P85" s="12"/>
      <c r="Q85" s="12"/>
      <c r="R85" s="5" t="str">
        <f t="shared" si="7"/>
        <v/>
      </c>
      <c r="S85" s="5" t="str">
        <f t="shared" si="8"/>
        <v/>
      </c>
      <c r="T85" s="3" t="str">
        <f>IF(B85="","",IF(LEN(B85)&lt;&gt;3,"3자리 아님",IF(SUMPRODUCT(--ISERROR(FIND(MID(B85,{1,2,3},1),"ABCDEFGHIJKLMNOPQRSTUVWXYZ0123456789")))&gt;0,"문자 오류",IF(COUNTIF(코드목록!$B$2:$B$20,LEFT(B85,1))=0,"구분 오류",IF(AND(LEFT(B85,1)="M",RIGHT(B85,1)&lt;&gt;"0"),"모듈 리비전은 0",IF(AND(LEFT(B85,1)&lt;&gt;"M",RIGHT(B85,1)="0"),"리비전은 1부터",IF(COUNTIF($B$5:$B$200,B85)&gt;1,"중복","OK")))))))</f>
        <v/>
      </c>
      <c r="U85" s="3" t="str">
        <f>IF(B85="","",IF(COUNTIF(칩코드!$A$5:$A$60,E85)=0,"칩 미등록",IF(AND(OR(LEFT(B85,1)="C",LEFT(B85,1)="D"),I85=""),"고객 코드 필요",IF(AND(I85&lt;&gt;"",COUNTIF(고객코드!$A$5:$A$200,I85)=0),"고객 미등록",IF(AND(N85&lt;&gt;"",COUNTIF(고객코드!$A$5:$A$200,LEFT(N85,2))=0),"기본값 미등록",IF(AND(H85&lt;&gt;"",COUNTIF($B$5:$B$200,H85)=0),"이전 코드 없음","OK"))))))</f>
        <v/>
      </c>
    </row>
    <row r="86" spans="1:21" x14ac:dyDescent="0.3">
      <c r="A86" s="3" t="str">
        <f t="shared" si="6"/>
        <v/>
      </c>
      <c r="B86" s="11"/>
      <c r="C86" s="5" t="str">
        <f>IF(B86="","",IFERROR(INDEX(코드목록!$C$2:$C$20,MATCH(LEFT(B86,1),코드목록!$B$2:$B$20,0)),"?"))</f>
        <v/>
      </c>
      <c r="D86" s="11"/>
      <c r="E86" s="11"/>
      <c r="F86" s="5" t="str">
        <f>IF(E86="","",IFERROR(INDEX(칩코드!$C$5:$C$60,MATCH(E86,칩코드!$A$5:$A$60,0)),"?"))</f>
        <v/>
      </c>
      <c r="G86" s="12"/>
      <c r="H86" s="11"/>
      <c r="I86" s="11"/>
      <c r="J86" s="11"/>
      <c r="K86" s="11"/>
      <c r="L86" s="12"/>
      <c r="M86" s="12"/>
      <c r="N86" s="11"/>
      <c r="O86" s="12"/>
      <c r="P86" s="12"/>
      <c r="Q86" s="12"/>
      <c r="R86" s="5" t="str">
        <f t="shared" si="7"/>
        <v/>
      </c>
      <c r="S86" s="5" t="str">
        <f t="shared" si="8"/>
        <v/>
      </c>
      <c r="T86" s="3" t="str">
        <f>IF(B86="","",IF(LEN(B86)&lt;&gt;3,"3자리 아님",IF(SUMPRODUCT(--ISERROR(FIND(MID(B86,{1,2,3},1),"ABCDEFGHIJKLMNOPQRSTUVWXYZ0123456789")))&gt;0,"문자 오류",IF(COUNTIF(코드목록!$B$2:$B$20,LEFT(B86,1))=0,"구분 오류",IF(AND(LEFT(B86,1)="M",RIGHT(B86,1)&lt;&gt;"0"),"모듈 리비전은 0",IF(AND(LEFT(B86,1)&lt;&gt;"M",RIGHT(B86,1)="0"),"리비전은 1부터",IF(COUNTIF($B$5:$B$200,B86)&gt;1,"중복","OK")))))))</f>
        <v/>
      </c>
      <c r="U86" s="3" t="str">
        <f>IF(B86="","",IF(COUNTIF(칩코드!$A$5:$A$60,E86)=0,"칩 미등록",IF(AND(OR(LEFT(B86,1)="C",LEFT(B86,1)="D"),I86=""),"고객 코드 필요",IF(AND(I86&lt;&gt;"",COUNTIF(고객코드!$A$5:$A$200,I86)=0),"고객 미등록",IF(AND(N86&lt;&gt;"",COUNTIF(고객코드!$A$5:$A$200,LEFT(N86,2))=0),"기본값 미등록",IF(AND(H86&lt;&gt;"",COUNTIF($B$5:$B$200,H86)=0),"이전 코드 없음","OK"))))))</f>
        <v/>
      </c>
    </row>
    <row r="87" spans="1:21" x14ac:dyDescent="0.3">
      <c r="A87" s="3" t="str">
        <f t="shared" si="6"/>
        <v/>
      </c>
      <c r="B87" s="11"/>
      <c r="C87" s="5" t="str">
        <f>IF(B87="","",IFERROR(INDEX(코드목록!$C$2:$C$20,MATCH(LEFT(B87,1),코드목록!$B$2:$B$20,0)),"?"))</f>
        <v/>
      </c>
      <c r="D87" s="11"/>
      <c r="E87" s="11"/>
      <c r="F87" s="5" t="str">
        <f>IF(E87="","",IFERROR(INDEX(칩코드!$C$5:$C$60,MATCH(E87,칩코드!$A$5:$A$60,0)),"?"))</f>
        <v/>
      </c>
      <c r="G87" s="12"/>
      <c r="H87" s="11"/>
      <c r="I87" s="11"/>
      <c r="J87" s="11"/>
      <c r="K87" s="11"/>
      <c r="L87" s="12"/>
      <c r="M87" s="12"/>
      <c r="N87" s="11"/>
      <c r="O87" s="12"/>
      <c r="P87" s="12"/>
      <c r="Q87" s="12"/>
      <c r="R87" s="5" t="str">
        <f t="shared" si="7"/>
        <v/>
      </c>
      <c r="S87" s="5" t="str">
        <f t="shared" si="8"/>
        <v/>
      </c>
      <c r="T87" s="3" t="str">
        <f>IF(B87="","",IF(LEN(B87)&lt;&gt;3,"3자리 아님",IF(SUMPRODUCT(--ISERROR(FIND(MID(B87,{1,2,3},1),"ABCDEFGHIJKLMNOPQRSTUVWXYZ0123456789")))&gt;0,"문자 오류",IF(COUNTIF(코드목록!$B$2:$B$20,LEFT(B87,1))=0,"구분 오류",IF(AND(LEFT(B87,1)="M",RIGHT(B87,1)&lt;&gt;"0"),"모듈 리비전은 0",IF(AND(LEFT(B87,1)&lt;&gt;"M",RIGHT(B87,1)="0"),"리비전은 1부터",IF(COUNTIF($B$5:$B$200,B87)&gt;1,"중복","OK")))))))</f>
        <v/>
      </c>
      <c r="U87" s="3" t="str">
        <f>IF(B87="","",IF(COUNTIF(칩코드!$A$5:$A$60,E87)=0,"칩 미등록",IF(AND(OR(LEFT(B87,1)="C",LEFT(B87,1)="D"),I87=""),"고객 코드 필요",IF(AND(I87&lt;&gt;"",COUNTIF(고객코드!$A$5:$A$200,I87)=0),"고객 미등록",IF(AND(N87&lt;&gt;"",COUNTIF(고객코드!$A$5:$A$200,LEFT(N87,2))=0),"기본값 미등록",IF(AND(H87&lt;&gt;"",COUNTIF($B$5:$B$200,H87)=0),"이전 코드 없음","OK"))))))</f>
        <v/>
      </c>
    </row>
    <row r="88" spans="1:21" x14ac:dyDescent="0.3">
      <c r="A88" s="3" t="str">
        <f t="shared" si="6"/>
        <v/>
      </c>
      <c r="B88" s="11"/>
      <c r="C88" s="5" t="str">
        <f>IF(B88="","",IFERROR(INDEX(코드목록!$C$2:$C$20,MATCH(LEFT(B88,1),코드목록!$B$2:$B$20,0)),"?"))</f>
        <v/>
      </c>
      <c r="D88" s="11"/>
      <c r="E88" s="11"/>
      <c r="F88" s="5" t="str">
        <f>IF(E88="","",IFERROR(INDEX(칩코드!$C$5:$C$60,MATCH(E88,칩코드!$A$5:$A$60,0)),"?"))</f>
        <v/>
      </c>
      <c r="G88" s="12"/>
      <c r="H88" s="11"/>
      <c r="I88" s="11"/>
      <c r="J88" s="11"/>
      <c r="K88" s="11"/>
      <c r="L88" s="12"/>
      <c r="M88" s="12"/>
      <c r="N88" s="11"/>
      <c r="O88" s="12"/>
      <c r="P88" s="12"/>
      <c r="Q88" s="12"/>
      <c r="R88" s="5" t="str">
        <f t="shared" si="7"/>
        <v/>
      </c>
      <c r="S88" s="5" t="str">
        <f t="shared" si="8"/>
        <v/>
      </c>
      <c r="T88" s="3" t="str">
        <f>IF(B88="","",IF(LEN(B88)&lt;&gt;3,"3자리 아님",IF(SUMPRODUCT(--ISERROR(FIND(MID(B88,{1,2,3},1),"ABCDEFGHIJKLMNOPQRSTUVWXYZ0123456789")))&gt;0,"문자 오류",IF(COUNTIF(코드목록!$B$2:$B$20,LEFT(B88,1))=0,"구분 오류",IF(AND(LEFT(B88,1)="M",RIGHT(B88,1)&lt;&gt;"0"),"모듈 리비전은 0",IF(AND(LEFT(B88,1)&lt;&gt;"M",RIGHT(B88,1)="0"),"리비전은 1부터",IF(COUNTIF($B$5:$B$200,B88)&gt;1,"중복","OK")))))))</f>
        <v/>
      </c>
      <c r="U88" s="3" t="str">
        <f>IF(B88="","",IF(COUNTIF(칩코드!$A$5:$A$60,E88)=0,"칩 미등록",IF(AND(OR(LEFT(B88,1)="C",LEFT(B88,1)="D"),I88=""),"고객 코드 필요",IF(AND(I88&lt;&gt;"",COUNTIF(고객코드!$A$5:$A$200,I88)=0),"고객 미등록",IF(AND(N88&lt;&gt;"",COUNTIF(고객코드!$A$5:$A$200,LEFT(N88,2))=0),"기본값 미등록",IF(AND(H88&lt;&gt;"",COUNTIF($B$5:$B$200,H88)=0),"이전 코드 없음","OK"))))))</f>
        <v/>
      </c>
    </row>
    <row r="89" spans="1:21" x14ac:dyDescent="0.3">
      <c r="A89" s="3" t="str">
        <f t="shared" si="6"/>
        <v/>
      </c>
      <c r="B89" s="11"/>
      <c r="C89" s="5" t="str">
        <f>IF(B89="","",IFERROR(INDEX(코드목록!$C$2:$C$20,MATCH(LEFT(B89,1),코드목록!$B$2:$B$20,0)),"?"))</f>
        <v/>
      </c>
      <c r="D89" s="11"/>
      <c r="E89" s="11"/>
      <c r="F89" s="5" t="str">
        <f>IF(E89="","",IFERROR(INDEX(칩코드!$C$5:$C$60,MATCH(E89,칩코드!$A$5:$A$60,0)),"?"))</f>
        <v/>
      </c>
      <c r="G89" s="12"/>
      <c r="H89" s="11"/>
      <c r="I89" s="11"/>
      <c r="J89" s="11"/>
      <c r="K89" s="11"/>
      <c r="L89" s="12"/>
      <c r="M89" s="12"/>
      <c r="N89" s="11"/>
      <c r="O89" s="12"/>
      <c r="P89" s="12"/>
      <c r="Q89" s="12"/>
      <c r="R89" s="5" t="str">
        <f t="shared" si="7"/>
        <v/>
      </c>
      <c r="S89" s="5" t="str">
        <f t="shared" si="8"/>
        <v/>
      </c>
      <c r="T89" s="3" t="str">
        <f>IF(B89="","",IF(LEN(B89)&lt;&gt;3,"3자리 아님",IF(SUMPRODUCT(--ISERROR(FIND(MID(B89,{1,2,3},1),"ABCDEFGHIJKLMNOPQRSTUVWXYZ0123456789")))&gt;0,"문자 오류",IF(COUNTIF(코드목록!$B$2:$B$20,LEFT(B89,1))=0,"구분 오류",IF(AND(LEFT(B89,1)="M",RIGHT(B89,1)&lt;&gt;"0"),"모듈 리비전은 0",IF(AND(LEFT(B89,1)&lt;&gt;"M",RIGHT(B89,1)="0"),"리비전은 1부터",IF(COUNTIF($B$5:$B$200,B89)&gt;1,"중복","OK")))))))</f>
        <v/>
      </c>
      <c r="U89" s="3" t="str">
        <f>IF(B89="","",IF(COUNTIF(칩코드!$A$5:$A$60,E89)=0,"칩 미등록",IF(AND(OR(LEFT(B89,1)="C",LEFT(B89,1)="D"),I89=""),"고객 코드 필요",IF(AND(I89&lt;&gt;"",COUNTIF(고객코드!$A$5:$A$200,I89)=0),"고객 미등록",IF(AND(N89&lt;&gt;"",COUNTIF(고객코드!$A$5:$A$200,LEFT(N89,2))=0),"기본값 미등록",IF(AND(H89&lt;&gt;"",COUNTIF($B$5:$B$200,H89)=0),"이전 코드 없음","OK"))))))</f>
        <v/>
      </c>
    </row>
    <row r="90" spans="1:21" x14ac:dyDescent="0.3">
      <c r="A90" s="3" t="str">
        <f t="shared" si="6"/>
        <v/>
      </c>
      <c r="B90" s="11"/>
      <c r="C90" s="5" t="str">
        <f>IF(B90="","",IFERROR(INDEX(코드목록!$C$2:$C$20,MATCH(LEFT(B90,1),코드목록!$B$2:$B$20,0)),"?"))</f>
        <v/>
      </c>
      <c r="D90" s="11"/>
      <c r="E90" s="11"/>
      <c r="F90" s="5" t="str">
        <f>IF(E90="","",IFERROR(INDEX(칩코드!$C$5:$C$60,MATCH(E90,칩코드!$A$5:$A$60,0)),"?"))</f>
        <v/>
      </c>
      <c r="G90" s="12"/>
      <c r="H90" s="11"/>
      <c r="I90" s="11"/>
      <c r="J90" s="11"/>
      <c r="K90" s="11"/>
      <c r="L90" s="12"/>
      <c r="M90" s="12"/>
      <c r="N90" s="11"/>
      <c r="O90" s="12"/>
      <c r="P90" s="12"/>
      <c r="Q90" s="12"/>
      <c r="R90" s="5" t="str">
        <f t="shared" si="7"/>
        <v/>
      </c>
      <c r="S90" s="5" t="str">
        <f t="shared" si="8"/>
        <v/>
      </c>
      <c r="T90" s="3" t="str">
        <f>IF(B90="","",IF(LEN(B90)&lt;&gt;3,"3자리 아님",IF(SUMPRODUCT(--ISERROR(FIND(MID(B90,{1,2,3},1),"ABCDEFGHIJKLMNOPQRSTUVWXYZ0123456789")))&gt;0,"문자 오류",IF(COUNTIF(코드목록!$B$2:$B$20,LEFT(B90,1))=0,"구분 오류",IF(AND(LEFT(B90,1)="M",RIGHT(B90,1)&lt;&gt;"0"),"모듈 리비전은 0",IF(AND(LEFT(B90,1)&lt;&gt;"M",RIGHT(B90,1)="0"),"리비전은 1부터",IF(COUNTIF($B$5:$B$200,B90)&gt;1,"중복","OK")))))))</f>
        <v/>
      </c>
      <c r="U90" s="3" t="str">
        <f>IF(B90="","",IF(COUNTIF(칩코드!$A$5:$A$60,E90)=0,"칩 미등록",IF(AND(OR(LEFT(B90,1)="C",LEFT(B90,1)="D"),I90=""),"고객 코드 필요",IF(AND(I90&lt;&gt;"",COUNTIF(고객코드!$A$5:$A$200,I90)=0),"고객 미등록",IF(AND(N90&lt;&gt;"",COUNTIF(고객코드!$A$5:$A$200,LEFT(N90,2))=0),"기본값 미등록",IF(AND(H90&lt;&gt;"",COUNTIF($B$5:$B$200,H90)=0),"이전 코드 없음","OK"))))))</f>
        <v/>
      </c>
    </row>
    <row r="91" spans="1:21" x14ac:dyDescent="0.3">
      <c r="A91" s="3" t="str">
        <f t="shared" si="6"/>
        <v/>
      </c>
      <c r="B91" s="11"/>
      <c r="C91" s="5" t="str">
        <f>IF(B91="","",IFERROR(INDEX(코드목록!$C$2:$C$20,MATCH(LEFT(B91,1),코드목록!$B$2:$B$20,0)),"?"))</f>
        <v/>
      </c>
      <c r="D91" s="11"/>
      <c r="E91" s="11"/>
      <c r="F91" s="5" t="str">
        <f>IF(E91="","",IFERROR(INDEX(칩코드!$C$5:$C$60,MATCH(E91,칩코드!$A$5:$A$60,0)),"?"))</f>
        <v/>
      </c>
      <c r="G91" s="12"/>
      <c r="H91" s="11"/>
      <c r="I91" s="11"/>
      <c r="J91" s="11"/>
      <c r="K91" s="11"/>
      <c r="L91" s="12"/>
      <c r="M91" s="12"/>
      <c r="N91" s="11"/>
      <c r="O91" s="12"/>
      <c r="P91" s="12"/>
      <c r="Q91" s="12"/>
      <c r="R91" s="5" t="str">
        <f t="shared" si="7"/>
        <v/>
      </c>
      <c r="S91" s="5" t="str">
        <f t="shared" si="8"/>
        <v/>
      </c>
      <c r="T91" s="3" t="str">
        <f>IF(B91="","",IF(LEN(B91)&lt;&gt;3,"3자리 아님",IF(SUMPRODUCT(--ISERROR(FIND(MID(B91,{1,2,3},1),"ABCDEFGHIJKLMNOPQRSTUVWXYZ0123456789")))&gt;0,"문자 오류",IF(COUNTIF(코드목록!$B$2:$B$20,LEFT(B91,1))=0,"구분 오류",IF(AND(LEFT(B91,1)="M",RIGHT(B91,1)&lt;&gt;"0"),"모듈 리비전은 0",IF(AND(LEFT(B91,1)&lt;&gt;"M",RIGHT(B91,1)="0"),"리비전은 1부터",IF(COUNTIF($B$5:$B$200,B91)&gt;1,"중복","OK")))))))</f>
        <v/>
      </c>
      <c r="U91" s="3" t="str">
        <f>IF(B91="","",IF(COUNTIF(칩코드!$A$5:$A$60,E91)=0,"칩 미등록",IF(AND(OR(LEFT(B91,1)="C",LEFT(B91,1)="D"),I91=""),"고객 코드 필요",IF(AND(I91&lt;&gt;"",COUNTIF(고객코드!$A$5:$A$200,I91)=0),"고객 미등록",IF(AND(N91&lt;&gt;"",COUNTIF(고객코드!$A$5:$A$200,LEFT(N91,2))=0),"기본값 미등록",IF(AND(H91&lt;&gt;"",COUNTIF($B$5:$B$200,H91)=0),"이전 코드 없음","OK"))))))</f>
        <v/>
      </c>
    </row>
    <row r="92" spans="1:21" x14ac:dyDescent="0.3">
      <c r="A92" s="3" t="str">
        <f t="shared" si="6"/>
        <v/>
      </c>
      <c r="B92" s="11"/>
      <c r="C92" s="5" t="str">
        <f>IF(B92="","",IFERROR(INDEX(코드목록!$C$2:$C$20,MATCH(LEFT(B92,1),코드목록!$B$2:$B$20,0)),"?"))</f>
        <v/>
      </c>
      <c r="D92" s="11"/>
      <c r="E92" s="11"/>
      <c r="F92" s="5" t="str">
        <f>IF(E92="","",IFERROR(INDEX(칩코드!$C$5:$C$60,MATCH(E92,칩코드!$A$5:$A$60,0)),"?"))</f>
        <v/>
      </c>
      <c r="G92" s="12"/>
      <c r="H92" s="11"/>
      <c r="I92" s="11"/>
      <c r="J92" s="11"/>
      <c r="K92" s="11"/>
      <c r="L92" s="12"/>
      <c r="M92" s="12"/>
      <c r="N92" s="11"/>
      <c r="O92" s="12"/>
      <c r="P92" s="12"/>
      <c r="Q92" s="12"/>
      <c r="R92" s="5" t="str">
        <f t="shared" si="7"/>
        <v/>
      </c>
      <c r="S92" s="5" t="str">
        <f t="shared" si="8"/>
        <v/>
      </c>
      <c r="T92" s="3" t="str">
        <f>IF(B92="","",IF(LEN(B92)&lt;&gt;3,"3자리 아님",IF(SUMPRODUCT(--ISERROR(FIND(MID(B92,{1,2,3},1),"ABCDEFGHIJKLMNOPQRSTUVWXYZ0123456789")))&gt;0,"문자 오류",IF(COUNTIF(코드목록!$B$2:$B$20,LEFT(B92,1))=0,"구분 오류",IF(AND(LEFT(B92,1)="M",RIGHT(B92,1)&lt;&gt;"0"),"모듈 리비전은 0",IF(AND(LEFT(B92,1)&lt;&gt;"M",RIGHT(B92,1)="0"),"리비전은 1부터",IF(COUNTIF($B$5:$B$200,B92)&gt;1,"중복","OK")))))))</f>
        <v/>
      </c>
      <c r="U92" s="3" t="str">
        <f>IF(B92="","",IF(COUNTIF(칩코드!$A$5:$A$60,E92)=0,"칩 미등록",IF(AND(OR(LEFT(B92,1)="C",LEFT(B92,1)="D"),I92=""),"고객 코드 필요",IF(AND(I92&lt;&gt;"",COUNTIF(고객코드!$A$5:$A$200,I92)=0),"고객 미등록",IF(AND(N92&lt;&gt;"",COUNTIF(고객코드!$A$5:$A$200,LEFT(N92,2))=0),"기본값 미등록",IF(AND(H92&lt;&gt;"",COUNTIF($B$5:$B$200,H92)=0),"이전 코드 없음","OK"))))))</f>
        <v/>
      </c>
    </row>
    <row r="93" spans="1:21" x14ac:dyDescent="0.3">
      <c r="A93" s="3" t="str">
        <f t="shared" si="6"/>
        <v/>
      </c>
      <c r="B93" s="11"/>
      <c r="C93" s="5" t="str">
        <f>IF(B93="","",IFERROR(INDEX(코드목록!$C$2:$C$20,MATCH(LEFT(B93,1),코드목록!$B$2:$B$20,0)),"?"))</f>
        <v/>
      </c>
      <c r="D93" s="11"/>
      <c r="E93" s="11"/>
      <c r="F93" s="5" t="str">
        <f>IF(E93="","",IFERROR(INDEX(칩코드!$C$5:$C$60,MATCH(E93,칩코드!$A$5:$A$60,0)),"?"))</f>
        <v/>
      </c>
      <c r="G93" s="12"/>
      <c r="H93" s="11"/>
      <c r="I93" s="11"/>
      <c r="J93" s="11"/>
      <c r="K93" s="11"/>
      <c r="L93" s="12"/>
      <c r="M93" s="12"/>
      <c r="N93" s="11"/>
      <c r="O93" s="12"/>
      <c r="P93" s="12"/>
      <c r="Q93" s="12"/>
      <c r="R93" s="5" t="str">
        <f t="shared" si="7"/>
        <v/>
      </c>
      <c r="S93" s="5" t="str">
        <f t="shared" si="8"/>
        <v/>
      </c>
      <c r="T93" s="3" t="str">
        <f>IF(B93="","",IF(LEN(B93)&lt;&gt;3,"3자리 아님",IF(SUMPRODUCT(--ISERROR(FIND(MID(B93,{1,2,3},1),"ABCDEFGHIJKLMNOPQRSTUVWXYZ0123456789")))&gt;0,"문자 오류",IF(COUNTIF(코드목록!$B$2:$B$20,LEFT(B93,1))=0,"구분 오류",IF(AND(LEFT(B93,1)="M",RIGHT(B93,1)&lt;&gt;"0"),"모듈 리비전은 0",IF(AND(LEFT(B93,1)&lt;&gt;"M",RIGHT(B93,1)="0"),"리비전은 1부터",IF(COUNTIF($B$5:$B$200,B93)&gt;1,"중복","OK")))))))</f>
        <v/>
      </c>
      <c r="U93" s="3" t="str">
        <f>IF(B93="","",IF(COUNTIF(칩코드!$A$5:$A$60,E93)=0,"칩 미등록",IF(AND(OR(LEFT(B93,1)="C",LEFT(B93,1)="D"),I93=""),"고객 코드 필요",IF(AND(I93&lt;&gt;"",COUNTIF(고객코드!$A$5:$A$200,I93)=0),"고객 미등록",IF(AND(N93&lt;&gt;"",COUNTIF(고객코드!$A$5:$A$200,LEFT(N93,2))=0),"기본값 미등록",IF(AND(H93&lt;&gt;"",COUNTIF($B$5:$B$200,H93)=0),"이전 코드 없음","OK"))))))</f>
        <v/>
      </c>
    </row>
    <row r="94" spans="1:21" x14ac:dyDescent="0.3">
      <c r="A94" s="3" t="str">
        <f t="shared" si="6"/>
        <v/>
      </c>
      <c r="B94" s="11"/>
      <c r="C94" s="5" t="str">
        <f>IF(B94="","",IFERROR(INDEX(코드목록!$C$2:$C$20,MATCH(LEFT(B94,1),코드목록!$B$2:$B$20,0)),"?"))</f>
        <v/>
      </c>
      <c r="D94" s="11"/>
      <c r="E94" s="11"/>
      <c r="F94" s="5" t="str">
        <f>IF(E94="","",IFERROR(INDEX(칩코드!$C$5:$C$60,MATCH(E94,칩코드!$A$5:$A$60,0)),"?"))</f>
        <v/>
      </c>
      <c r="G94" s="12"/>
      <c r="H94" s="11"/>
      <c r="I94" s="11"/>
      <c r="J94" s="11"/>
      <c r="K94" s="11"/>
      <c r="L94" s="12"/>
      <c r="M94" s="12"/>
      <c r="N94" s="11"/>
      <c r="O94" s="12"/>
      <c r="P94" s="12"/>
      <c r="Q94" s="12"/>
      <c r="R94" s="5" t="str">
        <f t="shared" si="7"/>
        <v/>
      </c>
      <c r="S94" s="5" t="str">
        <f t="shared" si="8"/>
        <v/>
      </c>
      <c r="T94" s="3" t="str">
        <f>IF(B94="","",IF(LEN(B94)&lt;&gt;3,"3자리 아님",IF(SUMPRODUCT(--ISERROR(FIND(MID(B94,{1,2,3},1),"ABCDEFGHIJKLMNOPQRSTUVWXYZ0123456789")))&gt;0,"문자 오류",IF(COUNTIF(코드목록!$B$2:$B$20,LEFT(B94,1))=0,"구분 오류",IF(AND(LEFT(B94,1)="M",RIGHT(B94,1)&lt;&gt;"0"),"모듈 리비전은 0",IF(AND(LEFT(B94,1)&lt;&gt;"M",RIGHT(B94,1)="0"),"리비전은 1부터",IF(COUNTIF($B$5:$B$200,B94)&gt;1,"중복","OK")))))))</f>
        <v/>
      </c>
      <c r="U94" s="3" t="str">
        <f>IF(B94="","",IF(COUNTIF(칩코드!$A$5:$A$60,E94)=0,"칩 미등록",IF(AND(OR(LEFT(B94,1)="C",LEFT(B94,1)="D"),I94=""),"고객 코드 필요",IF(AND(I94&lt;&gt;"",COUNTIF(고객코드!$A$5:$A$200,I94)=0),"고객 미등록",IF(AND(N94&lt;&gt;"",COUNTIF(고객코드!$A$5:$A$200,LEFT(N94,2))=0),"기본값 미등록",IF(AND(H94&lt;&gt;"",COUNTIF($B$5:$B$200,H94)=0),"이전 코드 없음","OK"))))))</f>
        <v/>
      </c>
    </row>
    <row r="95" spans="1:21" x14ac:dyDescent="0.3">
      <c r="A95" s="3" t="str">
        <f t="shared" si="6"/>
        <v/>
      </c>
      <c r="B95" s="11"/>
      <c r="C95" s="5" t="str">
        <f>IF(B95="","",IFERROR(INDEX(코드목록!$C$2:$C$20,MATCH(LEFT(B95,1),코드목록!$B$2:$B$20,0)),"?"))</f>
        <v/>
      </c>
      <c r="D95" s="11"/>
      <c r="E95" s="11"/>
      <c r="F95" s="5" t="str">
        <f>IF(E95="","",IFERROR(INDEX(칩코드!$C$5:$C$60,MATCH(E95,칩코드!$A$5:$A$60,0)),"?"))</f>
        <v/>
      </c>
      <c r="G95" s="12"/>
      <c r="H95" s="11"/>
      <c r="I95" s="11"/>
      <c r="J95" s="11"/>
      <c r="K95" s="11"/>
      <c r="L95" s="12"/>
      <c r="M95" s="12"/>
      <c r="N95" s="11"/>
      <c r="O95" s="12"/>
      <c r="P95" s="12"/>
      <c r="Q95" s="12"/>
      <c r="R95" s="5" t="str">
        <f t="shared" si="7"/>
        <v/>
      </c>
      <c r="S95" s="5" t="str">
        <f t="shared" si="8"/>
        <v/>
      </c>
      <c r="T95" s="3" t="str">
        <f>IF(B95="","",IF(LEN(B95)&lt;&gt;3,"3자리 아님",IF(SUMPRODUCT(--ISERROR(FIND(MID(B95,{1,2,3},1),"ABCDEFGHIJKLMNOPQRSTUVWXYZ0123456789")))&gt;0,"문자 오류",IF(COUNTIF(코드목록!$B$2:$B$20,LEFT(B95,1))=0,"구분 오류",IF(AND(LEFT(B95,1)="M",RIGHT(B95,1)&lt;&gt;"0"),"모듈 리비전은 0",IF(AND(LEFT(B95,1)&lt;&gt;"M",RIGHT(B95,1)="0"),"리비전은 1부터",IF(COUNTIF($B$5:$B$200,B95)&gt;1,"중복","OK")))))))</f>
        <v/>
      </c>
      <c r="U95" s="3" t="str">
        <f>IF(B95="","",IF(COUNTIF(칩코드!$A$5:$A$60,E95)=0,"칩 미등록",IF(AND(OR(LEFT(B95,1)="C",LEFT(B95,1)="D"),I95=""),"고객 코드 필요",IF(AND(I95&lt;&gt;"",COUNTIF(고객코드!$A$5:$A$200,I95)=0),"고객 미등록",IF(AND(N95&lt;&gt;"",COUNTIF(고객코드!$A$5:$A$200,LEFT(N95,2))=0),"기본값 미등록",IF(AND(H95&lt;&gt;"",COUNTIF($B$5:$B$200,H95)=0),"이전 코드 없음","OK"))))))</f>
        <v/>
      </c>
    </row>
    <row r="96" spans="1:21" x14ac:dyDescent="0.3">
      <c r="A96" s="3" t="str">
        <f t="shared" si="6"/>
        <v/>
      </c>
      <c r="B96" s="11"/>
      <c r="C96" s="5" t="str">
        <f>IF(B96="","",IFERROR(INDEX(코드목록!$C$2:$C$20,MATCH(LEFT(B96,1),코드목록!$B$2:$B$20,0)),"?"))</f>
        <v/>
      </c>
      <c r="D96" s="11"/>
      <c r="E96" s="11"/>
      <c r="F96" s="5" t="str">
        <f>IF(E96="","",IFERROR(INDEX(칩코드!$C$5:$C$60,MATCH(E96,칩코드!$A$5:$A$60,0)),"?"))</f>
        <v/>
      </c>
      <c r="G96" s="12"/>
      <c r="H96" s="11"/>
      <c r="I96" s="11"/>
      <c r="J96" s="11"/>
      <c r="K96" s="11"/>
      <c r="L96" s="12"/>
      <c r="M96" s="12"/>
      <c r="N96" s="11"/>
      <c r="O96" s="12"/>
      <c r="P96" s="12"/>
      <c r="Q96" s="12"/>
      <c r="R96" s="5" t="str">
        <f t="shared" si="7"/>
        <v/>
      </c>
      <c r="S96" s="5" t="str">
        <f t="shared" si="8"/>
        <v/>
      </c>
      <c r="T96" s="3" t="str">
        <f>IF(B96="","",IF(LEN(B96)&lt;&gt;3,"3자리 아님",IF(SUMPRODUCT(--ISERROR(FIND(MID(B96,{1,2,3},1),"ABCDEFGHIJKLMNOPQRSTUVWXYZ0123456789")))&gt;0,"문자 오류",IF(COUNTIF(코드목록!$B$2:$B$20,LEFT(B96,1))=0,"구분 오류",IF(AND(LEFT(B96,1)="M",RIGHT(B96,1)&lt;&gt;"0"),"모듈 리비전은 0",IF(AND(LEFT(B96,1)&lt;&gt;"M",RIGHT(B96,1)="0"),"리비전은 1부터",IF(COUNTIF($B$5:$B$200,B96)&gt;1,"중복","OK")))))))</f>
        <v/>
      </c>
      <c r="U96" s="3" t="str">
        <f>IF(B96="","",IF(COUNTIF(칩코드!$A$5:$A$60,E96)=0,"칩 미등록",IF(AND(OR(LEFT(B96,1)="C",LEFT(B96,1)="D"),I96=""),"고객 코드 필요",IF(AND(I96&lt;&gt;"",COUNTIF(고객코드!$A$5:$A$200,I96)=0),"고객 미등록",IF(AND(N96&lt;&gt;"",COUNTIF(고객코드!$A$5:$A$200,LEFT(N96,2))=0),"기본값 미등록",IF(AND(H96&lt;&gt;"",COUNTIF($B$5:$B$200,H96)=0),"이전 코드 없음","OK"))))))</f>
        <v/>
      </c>
    </row>
    <row r="97" spans="1:21" x14ac:dyDescent="0.3">
      <c r="A97" s="3" t="str">
        <f t="shared" si="6"/>
        <v/>
      </c>
      <c r="B97" s="11"/>
      <c r="C97" s="5" t="str">
        <f>IF(B97="","",IFERROR(INDEX(코드목록!$C$2:$C$20,MATCH(LEFT(B97,1),코드목록!$B$2:$B$20,0)),"?"))</f>
        <v/>
      </c>
      <c r="D97" s="11"/>
      <c r="E97" s="11"/>
      <c r="F97" s="5" t="str">
        <f>IF(E97="","",IFERROR(INDEX(칩코드!$C$5:$C$60,MATCH(E97,칩코드!$A$5:$A$60,0)),"?"))</f>
        <v/>
      </c>
      <c r="G97" s="12"/>
      <c r="H97" s="11"/>
      <c r="I97" s="11"/>
      <c r="J97" s="11"/>
      <c r="K97" s="11"/>
      <c r="L97" s="12"/>
      <c r="M97" s="12"/>
      <c r="N97" s="11"/>
      <c r="O97" s="12"/>
      <c r="P97" s="12"/>
      <c r="Q97" s="12"/>
      <c r="R97" s="5" t="str">
        <f t="shared" si="7"/>
        <v/>
      </c>
      <c r="S97" s="5" t="str">
        <f t="shared" si="8"/>
        <v/>
      </c>
      <c r="T97" s="3" t="str">
        <f>IF(B97="","",IF(LEN(B97)&lt;&gt;3,"3자리 아님",IF(SUMPRODUCT(--ISERROR(FIND(MID(B97,{1,2,3},1),"ABCDEFGHIJKLMNOPQRSTUVWXYZ0123456789")))&gt;0,"문자 오류",IF(COUNTIF(코드목록!$B$2:$B$20,LEFT(B97,1))=0,"구분 오류",IF(AND(LEFT(B97,1)="M",RIGHT(B97,1)&lt;&gt;"0"),"모듈 리비전은 0",IF(AND(LEFT(B97,1)&lt;&gt;"M",RIGHT(B97,1)="0"),"리비전은 1부터",IF(COUNTIF($B$5:$B$200,B97)&gt;1,"중복","OK")))))))</f>
        <v/>
      </c>
      <c r="U97" s="3" t="str">
        <f>IF(B97="","",IF(COUNTIF(칩코드!$A$5:$A$60,E97)=0,"칩 미등록",IF(AND(OR(LEFT(B97,1)="C",LEFT(B97,1)="D"),I97=""),"고객 코드 필요",IF(AND(I97&lt;&gt;"",COUNTIF(고객코드!$A$5:$A$200,I97)=0),"고객 미등록",IF(AND(N97&lt;&gt;"",COUNTIF(고객코드!$A$5:$A$200,LEFT(N97,2))=0),"기본값 미등록",IF(AND(H97&lt;&gt;"",COUNTIF($B$5:$B$200,H97)=0),"이전 코드 없음","OK"))))))</f>
        <v/>
      </c>
    </row>
    <row r="98" spans="1:21" x14ac:dyDescent="0.3">
      <c r="A98" s="3" t="str">
        <f t="shared" si="6"/>
        <v/>
      </c>
      <c r="B98" s="11"/>
      <c r="C98" s="5" t="str">
        <f>IF(B98="","",IFERROR(INDEX(코드목록!$C$2:$C$20,MATCH(LEFT(B98,1),코드목록!$B$2:$B$20,0)),"?"))</f>
        <v/>
      </c>
      <c r="D98" s="11"/>
      <c r="E98" s="11"/>
      <c r="F98" s="5" t="str">
        <f>IF(E98="","",IFERROR(INDEX(칩코드!$C$5:$C$60,MATCH(E98,칩코드!$A$5:$A$60,0)),"?"))</f>
        <v/>
      </c>
      <c r="G98" s="12"/>
      <c r="H98" s="11"/>
      <c r="I98" s="11"/>
      <c r="J98" s="11"/>
      <c r="K98" s="11"/>
      <c r="L98" s="12"/>
      <c r="M98" s="12"/>
      <c r="N98" s="11"/>
      <c r="O98" s="12"/>
      <c r="P98" s="12"/>
      <c r="Q98" s="12"/>
      <c r="R98" s="5" t="str">
        <f t="shared" si="7"/>
        <v/>
      </c>
      <c r="S98" s="5" t="str">
        <f t="shared" si="8"/>
        <v/>
      </c>
      <c r="T98" s="3" t="str">
        <f>IF(B98="","",IF(LEN(B98)&lt;&gt;3,"3자리 아님",IF(SUMPRODUCT(--ISERROR(FIND(MID(B98,{1,2,3},1),"ABCDEFGHIJKLMNOPQRSTUVWXYZ0123456789")))&gt;0,"문자 오류",IF(COUNTIF(코드목록!$B$2:$B$20,LEFT(B98,1))=0,"구분 오류",IF(AND(LEFT(B98,1)="M",RIGHT(B98,1)&lt;&gt;"0"),"모듈 리비전은 0",IF(AND(LEFT(B98,1)&lt;&gt;"M",RIGHT(B98,1)="0"),"리비전은 1부터",IF(COUNTIF($B$5:$B$200,B98)&gt;1,"중복","OK")))))))</f>
        <v/>
      </c>
      <c r="U98" s="3" t="str">
        <f>IF(B98="","",IF(COUNTIF(칩코드!$A$5:$A$60,E98)=0,"칩 미등록",IF(AND(OR(LEFT(B98,1)="C",LEFT(B98,1)="D"),I98=""),"고객 코드 필요",IF(AND(I98&lt;&gt;"",COUNTIF(고객코드!$A$5:$A$200,I98)=0),"고객 미등록",IF(AND(N98&lt;&gt;"",COUNTIF(고객코드!$A$5:$A$200,LEFT(N98,2))=0),"기본값 미등록",IF(AND(H98&lt;&gt;"",COUNTIF($B$5:$B$200,H98)=0),"이전 코드 없음","OK"))))))</f>
        <v/>
      </c>
    </row>
    <row r="99" spans="1:21" x14ac:dyDescent="0.3">
      <c r="A99" s="3" t="str">
        <f t="shared" si="6"/>
        <v/>
      </c>
      <c r="B99" s="11"/>
      <c r="C99" s="5" t="str">
        <f>IF(B99="","",IFERROR(INDEX(코드목록!$C$2:$C$20,MATCH(LEFT(B99,1),코드목록!$B$2:$B$20,0)),"?"))</f>
        <v/>
      </c>
      <c r="D99" s="11"/>
      <c r="E99" s="11"/>
      <c r="F99" s="5" t="str">
        <f>IF(E99="","",IFERROR(INDEX(칩코드!$C$5:$C$60,MATCH(E99,칩코드!$A$5:$A$60,0)),"?"))</f>
        <v/>
      </c>
      <c r="G99" s="12"/>
      <c r="H99" s="11"/>
      <c r="I99" s="11"/>
      <c r="J99" s="11"/>
      <c r="K99" s="11"/>
      <c r="L99" s="12"/>
      <c r="M99" s="12"/>
      <c r="N99" s="11"/>
      <c r="O99" s="12"/>
      <c r="P99" s="12"/>
      <c r="Q99" s="12"/>
      <c r="R99" s="5" t="str">
        <f t="shared" si="7"/>
        <v/>
      </c>
      <c r="S99" s="5" t="str">
        <f t="shared" si="8"/>
        <v/>
      </c>
      <c r="T99" s="3" t="str">
        <f>IF(B99="","",IF(LEN(B99)&lt;&gt;3,"3자리 아님",IF(SUMPRODUCT(--ISERROR(FIND(MID(B99,{1,2,3},1),"ABCDEFGHIJKLMNOPQRSTUVWXYZ0123456789")))&gt;0,"문자 오류",IF(COUNTIF(코드목록!$B$2:$B$20,LEFT(B99,1))=0,"구분 오류",IF(AND(LEFT(B99,1)="M",RIGHT(B99,1)&lt;&gt;"0"),"모듈 리비전은 0",IF(AND(LEFT(B99,1)&lt;&gt;"M",RIGHT(B99,1)="0"),"리비전은 1부터",IF(COUNTIF($B$5:$B$200,B99)&gt;1,"중복","OK")))))))</f>
        <v/>
      </c>
      <c r="U99" s="3" t="str">
        <f>IF(B99="","",IF(COUNTIF(칩코드!$A$5:$A$60,E99)=0,"칩 미등록",IF(AND(OR(LEFT(B99,1)="C",LEFT(B99,1)="D"),I99=""),"고객 코드 필요",IF(AND(I99&lt;&gt;"",COUNTIF(고객코드!$A$5:$A$200,I99)=0),"고객 미등록",IF(AND(N99&lt;&gt;"",COUNTIF(고객코드!$A$5:$A$200,LEFT(N99,2))=0),"기본값 미등록",IF(AND(H99&lt;&gt;"",COUNTIF($B$5:$B$200,H99)=0),"이전 코드 없음","OK"))))))</f>
        <v/>
      </c>
    </row>
    <row r="100" spans="1:21" x14ac:dyDescent="0.3">
      <c r="A100" s="3" t="str">
        <f t="shared" si="6"/>
        <v/>
      </c>
      <c r="B100" s="11"/>
      <c r="C100" s="5" t="str">
        <f>IF(B100="","",IFERROR(INDEX(코드목록!$C$2:$C$20,MATCH(LEFT(B100,1),코드목록!$B$2:$B$20,0)),"?"))</f>
        <v/>
      </c>
      <c r="D100" s="11"/>
      <c r="E100" s="11"/>
      <c r="F100" s="5" t="str">
        <f>IF(E100="","",IFERROR(INDEX(칩코드!$C$5:$C$60,MATCH(E100,칩코드!$A$5:$A$60,0)),"?"))</f>
        <v/>
      </c>
      <c r="G100" s="12"/>
      <c r="H100" s="11"/>
      <c r="I100" s="11"/>
      <c r="J100" s="11"/>
      <c r="K100" s="11"/>
      <c r="L100" s="12"/>
      <c r="M100" s="12"/>
      <c r="N100" s="11"/>
      <c r="O100" s="12"/>
      <c r="P100" s="12"/>
      <c r="Q100" s="12"/>
      <c r="R100" s="5" t="str">
        <f t="shared" si="7"/>
        <v/>
      </c>
      <c r="S100" s="5" t="str">
        <f t="shared" si="8"/>
        <v/>
      </c>
      <c r="T100" s="3" t="str">
        <f>IF(B100="","",IF(LEN(B100)&lt;&gt;3,"3자리 아님",IF(SUMPRODUCT(--ISERROR(FIND(MID(B100,{1,2,3},1),"ABCDEFGHIJKLMNOPQRSTUVWXYZ0123456789")))&gt;0,"문자 오류",IF(COUNTIF(코드목록!$B$2:$B$20,LEFT(B100,1))=0,"구분 오류",IF(AND(LEFT(B100,1)="M",RIGHT(B100,1)&lt;&gt;"0"),"모듈 리비전은 0",IF(AND(LEFT(B100,1)&lt;&gt;"M",RIGHT(B100,1)="0"),"리비전은 1부터",IF(COUNTIF($B$5:$B$200,B100)&gt;1,"중복","OK")))))))</f>
        <v/>
      </c>
      <c r="U100" s="3" t="str">
        <f>IF(B100="","",IF(COUNTIF(칩코드!$A$5:$A$60,E100)=0,"칩 미등록",IF(AND(OR(LEFT(B100,1)="C",LEFT(B100,1)="D"),I100=""),"고객 코드 필요",IF(AND(I100&lt;&gt;"",COUNTIF(고객코드!$A$5:$A$200,I100)=0),"고객 미등록",IF(AND(N100&lt;&gt;"",COUNTIF(고객코드!$A$5:$A$200,LEFT(N100,2))=0),"기본값 미등록",IF(AND(H100&lt;&gt;"",COUNTIF($B$5:$B$200,H100)=0),"이전 코드 없음","OK"))))))</f>
        <v/>
      </c>
    </row>
    <row r="101" spans="1:21" x14ac:dyDescent="0.3">
      <c r="A101" s="3" t="str">
        <f t="shared" ref="A101:A132" si="9">IF(B101="","",ROW()-4)</f>
        <v/>
      </c>
      <c r="B101" s="11"/>
      <c r="C101" s="5" t="str">
        <f>IF(B101="","",IFERROR(INDEX(코드목록!$C$2:$C$20,MATCH(LEFT(B101,1),코드목록!$B$2:$B$20,0)),"?"))</f>
        <v/>
      </c>
      <c r="D101" s="11"/>
      <c r="E101" s="11"/>
      <c r="F101" s="5" t="str">
        <f>IF(E101="","",IFERROR(INDEX(칩코드!$C$5:$C$60,MATCH(E101,칩코드!$A$5:$A$60,0)),"?"))</f>
        <v/>
      </c>
      <c r="G101" s="12"/>
      <c r="H101" s="11"/>
      <c r="I101" s="11"/>
      <c r="J101" s="11"/>
      <c r="K101" s="11"/>
      <c r="L101" s="12"/>
      <c r="M101" s="12"/>
      <c r="N101" s="11"/>
      <c r="O101" s="12"/>
      <c r="P101" s="12"/>
      <c r="Q101" s="12"/>
      <c r="R101" s="5" t="str">
        <f t="shared" ref="R101:R132" si="10">IF(OR(B101="",E101="",J101="",K101=""),"",E101&amp;"-"&amp;B101&amp;"-"&amp;J101&amp;"-"&amp;K101)</f>
        <v/>
      </c>
      <c r="S101" s="5" t="str">
        <f t="shared" ref="S101:S132" si="11">IF(R101="","","M2M_"&amp;R101&amp;"_AT-MM-"&amp;IF(M101="","UART",M101)&amp;"_V01.00_"&amp;IF(N101="","AC0",N101)&amp;"_0FN_YYMMDD.zip")</f>
        <v/>
      </c>
      <c r="T101" s="3" t="str">
        <f>IF(B101="","",IF(LEN(B101)&lt;&gt;3,"3자리 아님",IF(SUMPRODUCT(--ISERROR(FIND(MID(B101,{1,2,3},1),"ABCDEFGHIJKLMNOPQRSTUVWXYZ0123456789")))&gt;0,"문자 오류",IF(COUNTIF(코드목록!$B$2:$B$20,LEFT(B101,1))=0,"구분 오류",IF(AND(LEFT(B101,1)="M",RIGHT(B101,1)&lt;&gt;"0"),"모듈 리비전은 0",IF(AND(LEFT(B101,1)&lt;&gt;"M",RIGHT(B101,1)="0"),"리비전은 1부터",IF(COUNTIF($B$5:$B$200,B101)&gt;1,"중복","OK")))))))</f>
        <v/>
      </c>
      <c r="U101" s="3" t="str">
        <f>IF(B101="","",IF(COUNTIF(칩코드!$A$5:$A$60,E101)=0,"칩 미등록",IF(AND(OR(LEFT(B101,1)="C",LEFT(B101,1)="D"),I101=""),"고객 코드 필요",IF(AND(I101&lt;&gt;"",COUNTIF(고객코드!$A$5:$A$200,I101)=0),"고객 미등록",IF(AND(N101&lt;&gt;"",COUNTIF(고객코드!$A$5:$A$200,LEFT(N101,2))=0),"기본값 미등록",IF(AND(H101&lt;&gt;"",COUNTIF($B$5:$B$200,H101)=0),"이전 코드 없음","OK"))))))</f>
        <v/>
      </c>
    </row>
    <row r="102" spans="1:21" x14ac:dyDescent="0.3">
      <c r="A102" s="3" t="str">
        <f t="shared" si="9"/>
        <v/>
      </c>
      <c r="B102" s="11"/>
      <c r="C102" s="5" t="str">
        <f>IF(B102="","",IFERROR(INDEX(코드목록!$C$2:$C$20,MATCH(LEFT(B102,1),코드목록!$B$2:$B$20,0)),"?"))</f>
        <v/>
      </c>
      <c r="D102" s="11"/>
      <c r="E102" s="11"/>
      <c r="F102" s="5" t="str">
        <f>IF(E102="","",IFERROR(INDEX(칩코드!$C$5:$C$60,MATCH(E102,칩코드!$A$5:$A$60,0)),"?"))</f>
        <v/>
      </c>
      <c r="G102" s="12"/>
      <c r="H102" s="11"/>
      <c r="I102" s="11"/>
      <c r="J102" s="11"/>
      <c r="K102" s="11"/>
      <c r="L102" s="12"/>
      <c r="M102" s="12"/>
      <c r="N102" s="11"/>
      <c r="O102" s="12"/>
      <c r="P102" s="12"/>
      <c r="Q102" s="12"/>
      <c r="R102" s="5" t="str">
        <f t="shared" si="10"/>
        <v/>
      </c>
      <c r="S102" s="5" t="str">
        <f t="shared" si="11"/>
        <v/>
      </c>
      <c r="T102" s="3" t="str">
        <f>IF(B102="","",IF(LEN(B102)&lt;&gt;3,"3자리 아님",IF(SUMPRODUCT(--ISERROR(FIND(MID(B102,{1,2,3},1),"ABCDEFGHIJKLMNOPQRSTUVWXYZ0123456789")))&gt;0,"문자 오류",IF(COUNTIF(코드목록!$B$2:$B$20,LEFT(B102,1))=0,"구분 오류",IF(AND(LEFT(B102,1)="M",RIGHT(B102,1)&lt;&gt;"0"),"모듈 리비전은 0",IF(AND(LEFT(B102,1)&lt;&gt;"M",RIGHT(B102,1)="0"),"리비전은 1부터",IF(COUNTIF($B$5:$B$200,B102)&gt;1,"중복","OK")))))))</f>
        <v/>
      </c>
      <c r="U102" s="3" t="str">
        <f>IF(B102="","",IF(COUNTIF(칩코드!$A$5:$A$60,E102)=0,"칩 미등록",IF(AND(OR(LEFT(B102,1)="C",LEFT(B102,1)="D"),I102=""),"고객 코드 필요",IF(AND(I102&lt;&gt;"",COUNTIF(고객코드!$A$5:$A$200,I102)=0),"고객 미등록",IF(AND(N102&lt;&gt;"",COUNTIF(고객코드!$A$5:$A$200,LEFT(N102,2))=0),"기본값 미등록",IF(AND(H102&lt;&gt;"",COUNTIF($B$5:$B$200,H102)=0),"이전 코드 없음","OK"))))))</f>
        <v/>
      </c>
    </row>
    <row r="103" spans="1:21" x14ac:dyDescent="0.3">
      <c r="A103" s="3" t="str">
        <f t="shared" si="9"/>
        <v/>
      </c>
      <c r="B103" s="11"/>
      <c r="C103" s="5" t="str">
        <f>IF(B103="","",IFERROR(INDEX(코드목록!$C$2:$C$20,MATCH(LEFT(B103,1),코드목록!$B$2:$B$20,0)),"?"))</f>
        <v/>
      </c>
      <c r="D103" s="11"/>
      <c r="E103" s="11"/>
      <c r="F103" s="5" t="str">
        <f>IF(E103="","",IFERROR(INDEX(칩코드!$C$5:$C$60,MATCH(E103,칩코드!$A$5:$A$60,0)),"?"))</f>
        <v/>
      </c>
      <c r="G103" s="12"/>
      <c r="H103" s="11"/>
      <c r="I103" s="11"/>
      <c r="J103" s="11"/>
      <c r="K103" s="11"/>
      <c r="L103" s="12"/>
      <c r="M103" s="12"/>
      <c r="N103" s="11"/>
      <c r="O103" s="12"/>
      <c r="P103" s="12"/>
      <c r="Q103" s="12"/>
      <c r="R103" s="5" t="str">
        <f t="shared" si="10"/>
        <v/>
      </c>
      <c r="S103" s="5" t="str">
        <f t="shared" si="11"/>
        <v/>
      </c>
      <c r="T103" s="3" t="str">
        <f>IF(B103="","",IF(LEN(B103)&lt;&gt;3,"3자리 아님",IF(SUMPRODUCT(--ISERROR(FIND(MID(B103,{1,2,3},1),"ABCDEFGHIJKLMNOPQRSTUVWXYZ0123456789")))&gt;0,"문자 오류",IF(COUNTIF(코드목록!$B$2:$B$20,LEFT(B103,1))=0,"구분 오류",IF(AND(LEFT(B103,1)="M",RIGHT(B103,1)&lt;&gt;"0"),"모듈 리비전은 0",IF(AND(LEFT(B103,1)&lt;&gt;"M",RIGHT(B103,1)="0"),"리비전은 1부터",IF(COUNTIF($B$5:$B$200,B103)&gt;1,"중복","OK")))))))</f>
        <v/>
      </c>
      <c r="U103" s="3" t="str">
        <f>IF(B103="","",IF(COUNTIF(칩코드!$A$5:$A$60,E103)=0,"칩 미등록",IF(AND(OR(LEFT(B103,1)="C",LEFT(B103,1)="D"),I103=""),"고객 코드 필요",IF(AND(I103&lt;&gt;"",COUNTIF(고객코드!$A$5:$A$200,I103)=0),"고객 미등록",IF(AND(N103&lt;&gt;"",COUNTIF(고객코드!$A$5:$A$200,LEFT(N103,2))=0),"기본값 미등록",IF(AND(H103&lt;&gt;"",COUNTIF($B$5:$B$200,H103)=0),"이전 코드 없음","OK"))))))</f>
        <v/>
      </c>
    </row>
    <row r="104" spans="1:21" x14ac:dyDescent="0.3">
      <c r="A104" s="3" t="str">
        <f t="shared" si="9"/>
        <v/>
      </c>
      <c r="B104" s="11"/>
      <c r="C104" s="5" t="str">
        <f>IF(B104="","",IFERROR(INDEX(코드목록!$C$2:$C$20,MATCH(LEFT(B104,1),코드목록!$B$2:$B$20,0)),"?"))</f>
        <v/>
      </c>
      <c r="D104" s="11"/>
      <c r="E104" s="11"/>
      <c r="F104" s="5" t="str">
        <f>IF(E104="","",IFERROR(INDEX(칩코드!$C$5:$C$60,MATCH(E104,칩코드!$A$5:$A$60,0)),"?"))</f>
        <v/>
      </c>
      <c r="G104" s="12"/>
      <c r="H104" s="11"/>
      <c r="I104" s="11"/>
      <c r="J104" s="11"/>
      <c r="K104" s="11"/>
      <c r="L104" s="12"/>
      <c r="M104" s="12"/>
      <c r="N104" s="11"/>
      <c r="O104" s="12"/>
      <c r="P104" s="12"/>
      <c r="Q104" s="12"/>
      <c r="R104" s="5" t="str">
        <f t="shared" si="10"/>
        <v/>
      </c>
      <c r="S104" s="5" t="str">
        <f t="shared" si="11"/>
        <v/>
      </c>
      <c r="T104" s="3" t="str">
        <f>IF(B104="","",IF(LEN(B104)&lt;&gt;3,"3자리 아님",IF(SUMPRODUCT(--ISERROR(FIND(MID(B104,{1,2,3},1),"ABCDEFGHIJKLMNOPQRSTUVWXYZ0123456789")))&gt;0,"문자 오류",IF(COUNTIF(코드목록!$B$2:$B$20,LEFT(B104,1))=0,"구분 오류",IF(AND(LEFT(B104,1)="M",RIGHT(B104,1)&lt;&gt;"0"),"모듈 리비전은 0",IF(AND(LEFT(B104,1)&lt;&gt;"M",RIGHT(B104,1)="0"),"리비전은 1부터",IF(COUNTIF($B$5:$B$200,B104)&gt;1,"중복","OK")))))))</f>
        <v/>
      </c>
      <c r="U104" s="3" t="str">
        <f>IF(B104="","",IF(COUNTIF(칩코드!$A$5:$A$60,E104)=0,"칩 미등록",IF(AND(OR(LEFT(B104,1)="C",LEFT(B104,1)="D"),I104=""),"고객 코드 필요",IF(AND(I104&lt;&gt;"",COUNTIF(고객코드!$A$5:$A$200,I104)=0),"고객 미등록",IF(AND(N104&lt;&gt;"",COUNTIF(고객코드!$A$5:$A$200,LEFT(N104,2))=0),"기본값 미등록",IF(AND(H104&lt;&gt;"",COUNTIF($B$5:$B$200,H104)=0),"이전 코드 없음","OK"))))))</f>
        <v/>
      </c>
    </row>
    <row r="105" spans="1:21" x14ac:dyDescent="0.3">
      <c r="A105" s="3" t="str">
        <f t="shared" si="9"/>
        <v/>
      </c>
      <c r="B105" s="11"/>
      <c r="C105" s="5" t="str">
        <f>IF(B105="","",IFERROR(INDEX(코드목록!$C$2:$C$20,MATCH(LEFT(B105,1),코드목록!$B$2:$B$20,0)),"?"))</f>
        <v/>
      </c>
      <c r="D105" s="11"/>
      <c r="E105" s="11"/>
      <c r="F105" s="5" t="str">
        <f>IF(E105="","",IFERROR(INDEX(칩코드!$C$5:$C$60,MATCH(E105,칩코드!$A$5:$A$60,0)),"?"))</f>
        <v/>
      </c>
      <c r="G105" s="12"/>
      <c r="H105" s="11"/>
      <c r="I105" s="11"/>
      <c r="J105" s="11"/>
      <c r="K105" s="11"/>
      <c r="L105" s="12"/>
      <c r="M105" s="12"/>
      <c r="N105" s="11"/>
      <c r="O105" s="12"/>
      <c r="P105" s="12"/>
      <c r="Q105" s="12"/>
      <c r="R105" s="5" t="str">
        <f t="shared" si="10"/>
        <v/>
      </c>
      <c r="S105" s="5" t="str">
        <f t="shared" si="11"/>
        <v/>
      </c>
      <c r="T105" s="3" t="str">
        <f>IF(B105="","",IF(LEN(B105)&lt;&gt;3,"3자리 아님",IF(SUMPRODUCT(--ISERROR(FIND(MID(B105,{1,2,3},1),"ABCDEFGHIJKLMNOPQRSTUVWXYZ0123456789")))&gt;0,"문자 오류",IF(COUNTIF(코드목록!$B$2:$B$20,LEFT(B105,1))=0,"구분 오류",IF(AND(LEFT(B105,1)="M",RIGHT(B105,1)&lt;&gt;"0"),"모듈 리비전은 0",IF(AND(LEFT(B105,1)&lt;&gt;"M",RIGHT(B105,1)="0"),"리비전은 1부터",IF(COUNTIF($B$5:$B$200,B105)&gt;1,"중복","OK")))))))</f>
        <v/>
      </c>
      <c r="U105" s="3" t="str">
        <f>IF(B105="","",IF(COUNTIF(칩코드!$A$5:$A$60,E105)=0,"칩 미등록",IF(AND(OR(LEFT(B105,1)="C",LEFT(B105,1)="D"),I105=""),"고객 코드 필요",IF(AND(I105&lt;&gt;"",COUNTIF(고객코드!$A$5:$A$200,I105)=0),"고객 미등록",IF(AND(N105&lt;&gt;"",COUNTIF(고객코드!$A$5:$A$200,LEFT(N105,2))=0),"기본값 미등록",IF(AND(H105&lt;&gt;"",COUNTIF($B$5:$B$200,H105)=0),"이전 코드 없음","OK"))))))</f>
        <v/>
      </c>
    </row>
    <row r="106" spans="1:21" x14ac:dyDescent="0.3">
      <c r="A106" s="3" t="str">
        <f t="shared" si="9"/>
        <v/>
      </c>
      <c r="B106" s="11"/>
      <c r="C106" s="5" t="str">
        <f>IF(B106="","",IFERROR(INDEX(코드목록!$C$2:$C$20,MATCH(LEFT(B106,1),코드목록!$B$2:$B$20,0)),"?"))</f>
        <v/>
      </c>
      <c r="D106" s="11"/>
      <c r="E106" s="11"/>
      <c r="F106" s="5" t="str">
        <f>IF(E106="","",IFERROR(INDEX(칩코드!$C$5:$C$60,MATCH(E106,칩코드!$A$5:$A$60,0)),"?"))</f>
        <v/>
      </c>
      <c r="G106" s="12"/>
      <c r="H106" s="11"/>
      <c r="I106" s="11"/>
      <c r="J106" s="11"/>
      <c r="K106" s="11"/>
      <c r="L106" s="12"/>
      <c r="M106" s="12"/>
      <c r="N106" s="11"/>
      <c r="O106" s="12"/>
      <c r="P106" s="12"/>
      <c r="Q106" s="12"/>
      <c r="R106" s="5" t="str">
        <f t="shared" si="10"/>
        <v/>
      </c>
      <c r="S106" s="5" t="str">
        <f t="shared" si="11"/>
        <v/>
      </c>
      <c r="T106" s="3" t="str">
        <f>IF(B106="","",IF(LEN(B106)&lt;&gt;3,"3자리 아님",IF(SUMPRODUCT(--ISERROR(FIND(MID(B106,{1,2,3},1),"ABCDEFGHIJKLMNOPQRSTUVWXYZ0123456789")))&gt;0,"문자 오류",IF(COUNTIF(코드목록!$B$2:$B$20,LEFT(B106,1))=0,"구분 오류",IF(AND(LEFT(B106,1)="M",RIGHT(B106,1)&lt;&gt;"0"),"모듈 리비전은 0",IF(AND(LEFT(B106,1)&lt;&gt;"M",RIGHT(B106,1)="0"),"리비전은 1부터",IF(COUNTIF($B$5:$B$200,B106)&gt;1,"중복","OK")))))))</f>
        <v/>
      </c>
      <c r="U106" s="3" t="str">
        <f>IF(B106="","",IF(COUNTIF(칩코드!$A$5:$A$60,E106)=0,"칩 미등록",IF(AND(OR(LEFT(B106,1)="C",LEFT(B106,1)="D"),I106=""),"고객 코드 필요",IF(AND(I106&lt;&gt;"",COUNTIF(고객코드!$A$5:$A$200,I106)=0),"고객 미등록",IF(AND(N106&lt;&gt;"",COUNTIF(고객코드!$A$5:$A$200,LEFT(N106,2))=0),"기본값 미등록",IF(AND(H106&lt;&gt;"",COUNTIF($B$5:$B$200,H106)=0),"이전 코드 없음","OK"))))))</f>
        <v/>
      </c>
    </row>
    <row r="107" spans="1:21" x14ac:dyDescent="0.3">
      <c r="A107" s="3" t="str">
        <f t="shared" si="9"/>
        <v/>
      </c>
      <c r="B107" s="11"/>
      <c r="C107" s="5" t="str">
        <f>IF(B107="","",IFERROR(INDEX(코드목록!$C$2:$C$20,MATCH(LEFT(B107,1),코드목록!$B$2:$B$20,0)),"?"))</f>
        <v/>
      </c>
      <c r="D107" s="11"/>
      <c r="E107" s="11"/>
      <c r="F107" s="5" t="str">
        <f>IF(E107="","",IFERROR(INDEX(칩코드!$C$5:$C$60,MATCH(E107,칩코드!$A$5:$A$60,0)),"?"))</f>
        <v/>
      </c>
      <c r="G107" s="12"/>
      <c r="H107" s="11"/>
      <c r="I107" s="11"/>
      <c r="J107" s="11"/>
      <c r="K107" s="11"/>
      <c r="L107" s="12"/>
      <c r="M107" s="12"/>
      <c r="N107" s="11"/>
      <c r="O107" s="12"/>
      <c r="P107" s="12"/>
      <c r="Q107" s="12"/>
      <c r="R107" s="5" t="str">
        <f t="shared" si="10"/>
        <v/>
      </c>
      <c r="S107" s="5" t="str">
        <f t="shared" si="11"/>
        <v/>
      </c>
      <c r="T107" s="3" t="str">
        <f>IF(B107="","",IF(LEN(B107)&lt;&gt;3,"3자리 아님",IF(SUMPRODUCT(--ISERROR(FIND(MID(B107,{1,2,3},1),"ABCDEFGHIJKLMNOPQRSTUVWXYZ0123456789")))&gt;0,"문자 오류",IF(COUNTIF(코드목록!$B$2:$B$20,LEFT(B107,1))=0,"구분 오류",IF(AND(LEFT(B107,1)="M",RIGHT(B107,1)&lt;&gt;"0"),"모듈 리비전은 0",IF(AND(LEFT(B107,1)&lt;&gt;"M",RIGHT(B107,1)="0"),"리비전은 1부터",IF(COUNTIF($B$5:$B$200,B107)&gt;1,"중복","OK")))))))</f>
        <v/>
      </c>
      <c r="U107" s="3" t="str">
        <f>IF(B107="","",IF(COUNTIF(칩코드!$A$5:$A$60,E107)=0,"칩 미등록",IF(AND(OR(LEFT(B107,1)="C",LEFT(B107,1)="D"),I107=""),"고객 코드 필요",IF(AND(I107&lt;&gt;"",COUNTIF(고객코드!$A$5:$A$200,I107)=0),"고객 미등록",IF(AND(N107&lt;&gt;"",COUNTIF(고객코드!$A$5:$A$200,LEFT(N107,2))=0),"기본값 미등록",IF(AND(H107&lt;&gt;"",COUNTIF($B$5:$B$200,H107)=0),"이전 코드 없음","OK"))))))</f>
        <v/>
      </c>
    </row>
    <row r="108" spans="1:21" x14ac:dyDescent="0.3">
      <c r="A108" s="3" t="str">
        <f t="shared" si="9"/>
        <v/>
      </c>
      <c r="B108" s="11"/>
      <c r="C108" s="5" t="str">
        <f>IF(B108="","",IFERROR(INDEX(코드목록!$C$2:$C$20,MATCH(LEFT(B108,1),코드목록!$B$2:$B$20,0)),"?"))</f>
        <v/>
      </c>
      <c r="D108" s="11"/>
      <c r="E108" s="11"/>
      <c r="F108" s="5" t="str">
        <f>IF(E108="","",IFERROR(INDEX(칩코드!$C$5:$C$60,MATCH(E108,칩코드!$A$5:$A$60,0)),"?"))</f>
        <v/>
      </c>
      <c r="G108" s="12"/>
      <c r="H108" s="11"/>
      <c r="I108" s="11"/>
      <c r="J108" s="11"/>
      <c r="K108" s="11"/>
      <c r="L108" s="12"/>
      <c r="M108" s="12"/>
      <c r="N108" s="11"/>
      <c r="O108" s="12"/>
      <c r="P108" s="12"/>
      <c r="Q108" s="12"/>
      <c r="R108" s="5" t="str">
        <f t="shared" si="10"/>
        <v/>
      </c>
      <c r="S108" s="5" t="str">
        <f t="shared" si="11"/>
        <v/>
      </c>
      <c r="T108" s="3" t="str">
        <f>IF(B108="","",IF(LEN(B108)&lt;&gt;3,"3자리 아님",IF(SUMPRODUCT(--ISERROR(FIND(MID(B108,{1,2,3},1),"ABCDEFGHIJKLMNOPQRSTUVWXYZ0123456789")))&gt;0,"문자 오류",IF(COUNTIF(코드목록!$B$2:$B$20,LEFT(B108,1))=0,"구분 오류",IF(AND(LEFT(B108,1)="M",RIGHT(B108,1)&lt;&gt;"0"),"모듈 리비전은 0",IF(AND(LEFT(B108,1)&lt;&gt;"M",RIGHT(B108,1)="0"),"리비전은 1부터",IF(COUNTIF($B$5:$B$200,B108)&gt;1,"중복","OK")))))))</f>
        <v/>
      </c>
      <c r="U108" s="3" t="str">
        <f>IF(B108="","",IF(COUNTIF(칩코드!$A$5:$A$60,E108)=0,"칩 미등록",IF(AND(OR(LEFT(B108,1)="C",LEFT(B108,1)="D"),I108=""),"고객 코드 필요",IF(AND(I108&lt;&gt;"",COUNTIF(고객코드!$A$5:$A$200,I108)=0),"고객 미등록",IF(AND(N108&lt;&gt;"",COUNTIF(고객코드!$A$5:$A$200,LEFT(N108,2))=0),"기본값 미등록",IF(AND(H108&lt;&gt;"",COUNTIF($B$5:$B$200,H108)=0),"이전 코드 없음","OK"))))))</f>
        <v/>
      </c>
    </row>
    <row r="109" spans="1:21" x14ac:dyDescent="0.3">
      <c r="A109" s="3" t="str">
        <f t="shared" si="9"/>
        <v/>
      </c>
      <c r="B109" s="11"/>
      <c r="C109" s="5" t="str">
        <f>IF(B109="","",IFERROR(INDEX(코드목록!$C$2:$C$20,MATCH(LEFT(B109,1),코드목록!$B$2:$B$20,0)),"?"))</f>
        <v/>
      </c>
      <c r="D109" s="11"/>
      <c r="E109" s="11"/>
      <c r="F109" s="5" t="str">
        <f>IF(E109="","",IFERROR(INDEX(칩코드!$C$5:$C$60,MATCH(E109,칩코드!$A$5:$A$60,0)),"?"))</f>
        <v/>
      </c>
      <c r="G109" s="12"/>
      <c r="H109" s="11"/>
      <c r="I109" s="11"/>
      <c r="J109" s="11"/>
      <c r="K109" s="11"/>
      <c r="L109" s="12"/>
      <c r="M109" s="12"/>
      <c r="N109" s="11"/>
      <c r="O109" s="12"/>
      <c r="P109" s="12"/>
      <c r="Q109" s="12"/>
      <c r="R109" s="5" t="str">
        <f t="shared" si="10"/>
        <v/>
      </c>
      <c r="S109" s="5" t="str">
        <f t="shared" si="11"/>
        <v/>
      </c>
      <c r="T109" s="3" t="str">
        <f>IF(B109="","",IF(LEN(B109)&lt;&gt;3,"3자리 아님",IF(SUMPRODUCT(--ISERROR(FIND(MID(B109,{1,2,3},1),"ABCDEFGHIJKLMNOPQRSTUVWXYZ0123456789")))&gt;0,"문자 오류",IF(COUNTIF(코드목록!$B$2:$B$20,LEFT(B109,1))=0,"구분 오류",IF(AND(LEFT(B109,1)="M",RIGHT(B109,1)&lt;&gt;"0"),"모듈 리비전은 0",IF(AND(LEFT(B109,1)&lt;&gt;"M",RIGHT(B109,1)="0"),"리비전은 1부터",IF(COUNTIF($B$5:$B$200,B109)&gt;1,"중복","OK")))))))</f>
        <v/>
      </c>
      <c r="U109" s="3" t="str">
        <f>IF(B109="","",IF(COUNTIF(칩코드!$A$5:$A$60,E109)=0,"칩 미등록",IF(AND(OR(LEFT(B109,1)="C",LEFT(B109,1)="D"),I109=""),"고객 코드 필요",IF(AND(I109&lt;&gt;"",COUNTIF(고객코드!$A$5:$A$200,I109)=0),"고객 미등록",IF(AND(N109&lt;&gt;"",COUNTIF(고객코드!$A$5:$A$200,LEFT(N109,2))=0),"기본값 미등록",IF(AND(H109&lt;&gt;"",COUNTIF($B$5:$B$200,H109)=0),"이전 코드 없음","OK"))))))</f>
        <v/>
      </c>
    </row>
    <row r="110" spans="1:21" x14ac:dyDescent="0.3">
      <c r="A110" s="3" t="str">
        <f t="shared" si="9"/>
        <v/>
      </c>
      <c r="B110" s="11"/>
      <c r="C110" s="5" t="str">
        <f>IF(B110="","",IFERROR(INDEX(코드목록!$C$2:$C$20,MATCH(LEFT(B110,1),코드목록!$B$2:$B$20,0)),"?"))</f>
        <v/>
      </c>
      <c r="D110" s="11"/>
      <c r="E110" s="11"/>
      <c r="F110" s="5" t="str">
        <f>IF(E110="","",IFERROR(INDEX(칩코드!$C$5:$C$60,MATCH(E110,칩코드!$A$5:$A$60,0)),"?"))</f>
        <v/>
      </c>
      <c r="G110" s="12"/>
      <c r="H110" s="11"/>
      <c r="I110" s="11"/>
      <c r="J110" s="11"/>
      <c r="K110" s="11"/>
      <c r="L110" s="12"/>
      <c r="M110" s="12"/>
      <c r="N110" s="11"/>
      <c r="O110" s="12"/>
      <c r="P110" s="12"/>
      <c r="Q110" s="12"/>
      <c r="R110" s="5" t="str">
        <f t="shared" si="10"/>
        <v/>
      </c>
      <c r="S110" s="5" t="str">
        <f t="shared" si="11"/>
        <v/>
      </c>
      <c r="T110" s="3" t="str">
        <f>IF(B110="","",IF(LEN(B110)&lt;&gt;3,"3자리 아님",IF(SUMPRODUCT(--ISERROR(FIND(MID(B110,{1,2,3},1),"ABCDEFGHIJKLMNOPQRSTUVWXYZ0123456789")))&gt;0,"문자 오류",IF(COUNTIF(코드목록!$B$2:$B$20,LEFT(B110,1))=0,"구분 오류",IF(AND(LEFT(B110,1)="M",RIGHT(B110,1)&lt;&gt;"0"),"모듈 리비전은 0",IF(AND(LEFT(B110,1)&lt;&gt;"M",RIGHT(B110,1)="0"),"리비전은 1부터",IF(COUNTIF($B$5:$B$200,B110)&gt;1,"중복","OK")))))))</f>
        <v/>
      </c>
      <c r="U110" s="3" t="str">
        <f>IF(B110="","",IF(COUNTIF(칩코드!$A$5:$A$60,E110)=0,"칩 미등록",IF(AND(OR(LEFT(B110,1)="C",LEFT(B110,1)="D"),I110=""),"고객 코드 필요",IF(AND(I110&lt;&gt;"",COUNTIF(고객코드!$A$5:$A$200,I110)=0),"고객 미등록",IF(AND(N110&lt;&gt;"",COUNTIF(고객코드!$A$5:$A$200,LEFT(N110,2))=0),"기본값 미등록",IF(AND(H110&lt;&gt;"",COUNTIF($B$5:$B$200,H110)=0),"이전 코드 없음","OK"))))))</f>
        <v/>
      </c>
    </row>
    <row r="111" spans="1:21" x14ac:dyDescent="0.3">
      <c r="A111" s="3" t="str">
        <f t="shared" si="9"/>
        <v/>
      </c>
      <c r="B111" s="11"/>
      <c r="C111" s="5" t="str">
        <f>IF(B111="","",IFERROR(INDEX(코드목록!$C$2:$C$20,MATCH(LEFT(B111,1),코드목록!$B$2:$B$20,0)),"?"))</f>
        <v/>
      </c>
      <c r="D111" s="11"/>
      <c r="E111" s="11"/>
      <c r="F111" s="5" t="str">
        <f>IF(E111="","",IFERROR(INDEX(칩코드!$C$5:$C$60,MATCH(E111,칩코드!$A$5:$A$60,0)),"?"))</f>
        <v/>
      </c>
      <c r="G111" s="12"/>
      <c r="H111" s="11"/>
      <c r="I111" s="11"/>
      <c r="J111" s="11"/>
      <c r="K111" s="11"/>
      <c r="L111" s="12"/>
      <c r="M111" s="12"/>
      <c r="N111" s="11"/>
      <c r="O111" s="12"/>
      <c r="P111" s="12"/>
      <c r="Q111" s="12"/>
      <c r="R111" s="5" t="str">
        <f t="shared" si="10"/>
        <v/>
      </c>
      <c r="S111" s="5" t="str">
        <f t="shared" si="11"/>
        <v/>
      </c>
      <c r="T111" s="3" t="str">
        <f>IF(B111="","",IF(LEN(B111)&lt;&gt;3,"3자리 아님",IF(SUMPRODUCT(--ISERROR(FIND(MID(B111,{1,2,3},1),"ABCDEFGHIJKLMNOPQRSTUVWXYZ0123456789")))&gt;0,"문자 오류",IF(COUNTIF(코드목록!$B$2:$B$20,LEFT(B111,1))=0,"구분 오류",IF(AND(LEFT(B111,1)="M",RIGHT(B111,1)&lt;&gt;"0"),"모듈 리비전은 0",IF(AND(LEFT(B111,1)&lt;&gt;"M",RIGHT(B111,1)="0"),"리비전은 1부터",IF(COUNTIF($B$5:$B$200,B111)&gt;1,"중복","OK")))))))</f>
        <v/>
      </c>
      <c r="U111" s="3" t="str">
        <f>IF(B111="","",IF(COUNTIF(칩코드!$A$5:$A$60,E111)=0,"칩 미등록",IF(AND(OR(LEFT(B111,1)="C",LEFT(B111,1)="D"),I111=""),"고객 코드 필요",IF(AND(I111&lt;&gt;"",COUNTIF(고객코드!$A$5:$A$200,I111)=0),"고객 미등록",IF(AND(N111&lt;&gt;"",COUNTIF(고객코드!$A$5:$A$200,LEFT(N111,2))=0),"기본값 미등록",IF(AND(H111&lt;&gt;"",COUNTIF($B$5:$B$200,H111)=0),"이전 코드 없음","OK"))))))</f>
        <v/>
      </c>
    </row>
    <row r="112" spans="1:21" x14ac:dyDescent="0.3">
      <c r="A112" s="3" t="str">
        <f t="shared" si="9"/>
        <v/>
      </c>
      <c r="B112" s="11"/>
      <c r="C112" s="5" t="str">
        <f>IF(B112="","",IFERROR(INDEX(코드목록!$C$2:$C$20,MATCH(LEFT(B112,1),코드목록!$B$2:$B$20,0)),"?"))</f>
        <v/>
      </c>
      <c r="D112" s="11"/>
      <c r="E112" s="11"/>
      <c r="F112" s="5" t="str">
        <f>IF(E112="","",IFERROR(INDEX(칩코드!$C$5:$C$60,MATCH(E112,칩코드!$A$5:$A$60,0)),"?"))</f>
        <v/>
      </c>
      <c r="G112" s="12"/>
      <c r="H112" s="11"/>
      <c r="I112" s="11"/>
      <c r="J112" s="11"/>
      <c r="K112" s="11"/>
      <c r="L112" s="12"/>
      <c r="M112" s="12"/>
      <c r="N112" s="11"/>
      <c r="O112" s="12"/>
      <c r="P112" s="12"/>
      <c r="Q112" s="12"/>
      <c r="R112" s="5" t="str">
        <f t="shared" si="10"/>
        <v/>
      </c>
      <c r="S112" s="5" t="str">
        <f t="shared" si="11"/>
        <v/>
      </c>
      <c r="T112" s="3" t="str">
        <f>IF(B112="","",IF(LEN(B112)&lt;&gt;3,"3자리 아님",IF(SUMPRODUCT(--ISERROR(FIND(MID(B112,{1,2,3},1),"ABCDEFGHIJKLMNOPQRSTUVWXYZ0123456789")))&gt;0,"문자 오류",IF(COUNTIF(코드목록!$B$2:$B$20,LEFT(B112,1))=0,"구분 오류",IF(AND(LEFT(B112,1)="M",RIGHT(B112,1)&lt;&gt;"0"),"모듈 리비전은 0",IF(AND(LEFT(B112,1)&lt;&gt;"M",RIGHT(B112,1)="0"),"리비전은 1부터",IF(COUNTIF($B$5:$B$200,B112)&gt;1,"중복","OK")))))))</f>
        <v/>
      </c>
      <c r="U112" s="3" t="str">
        <f>IF(B112="","",IF(COUNTIF(칩코드!$A$5:$A$60,E112)=0,"칩 미등록",IF(AND(OR(LEFT(B112,1)="C",LEFT(B112,1)="D"),I112=""),"고객 코드 필요",IF(AND(I112&lt;&gt;"",COUNTIF(고객코드!$A$5:$A$200,I112)=0),"고객 미등록",IF(AND(N112&lt;&gt;"",COUNTIF(고객코드!$A$5:$A$200,LEFT(N112,2))=0),"기본값 미등록",IF(AND(H112&lt;&gt;"",COUNTIF($B$5:$B$200,H112)=0),"이전 코드 없음","OK"))))))</f>
        <v/>
      </c>
    </row>
    <row r="113" spans="1:21" x14ac:dyDescent="0.3">
      <c r="A113" s="3" t="str">
        <f t="shared" si="9"/>
        <v/>
      </c>
      <c r="B113" s="11"/>
      <c r="C113" s="5" t="str">
        <f>IF(B113="","",IFERROR(INDEX(코드목록!$C$2:$C$20,MATCH(LEFT(B113,1),코드목록!$B$2:$B$20,0)),"?"))</f>
        <v/>
      </c>
      <c r="D113" s="11"/>
      <c r="E113" s="11"/>
      <c r="F113" s="5" t="str">
        <f>IF(E113="","",IFERROR(INDEX(칩코드!$C$5:$C$60,MATCH(E113,칩코드!$A$5:$A$60,0)),"?"))</f>
        <v/>
      </c>
      <c r="G113" s="12"/>
      <c r="H113" s="11"/>
      <c r="I113" s="11"/>
      <c r="J113" s="11"/>
      <c r="K113" s="11"/>
      <c r="L113" s="12"/>
      <c r="M113" s="12"/>
      <c r="N113" s="11"/>
      <c r="O113" s="12"/>
      <c r="P113" s="12"/>
      <c r="Q113" s="12"/>
      <c r="R113" s="5" t="str">
        <f t="shared" si="10"/>
        <v/>
      </c>
      <c r="S113" s="5" t="str">
        <f t="shared" si="11"/>
        <v/>
      </c>
      <c r="T113" s="3" t="str">
        <f>IF(B113="","",IF(LEN(B113)&lt;&gt;3,"3자리 아님",IF(SUMPRODUCT(--ISERROR(FIND(MID(B113,{1,2,3},1),"ABCDEFGHIJKLMNOPQRSTUVWXYZ0123456789")))&gt;0,"문자 오류",IF(COUNTIF(코드목록!$B$2:$B$20,LEFT(B113,1))=0,"구분 오류",IF(AND(LEFT(B113,1)="M",RIGHT(B113,1)&lt;&gt;"0"),"모듈 리비전은 0",IF(AND(LEFT(B113,1)&lt;&gt;"M",RIGHT(B113,1)="0"),"리비전은 1부터",IF(COUNTIF($B$5:$B$200,B113)&gt;1,"중복","OK")))))))</f>
        <v/>
      </c>
      <c r="U113" s="3" t="str">
        <f>IF(B113="","",IF(COUNTIF(칩코드!$A$5:$A$60,E113)=0,"칩 미등록",IF(AND(OR(LEFT(B113,1)="C",LEFT(B113,1)="D"),I113=""),"고객 코드 필요",IF(AND(I113&lt;&gt;"",COUNTIF(고객코드!$A$5:$A$200,I113)=0),"고객 미등록",IF(AND(N113&lt;&gt;"",COUNTIF(고객코드!$A$5:$A$200,LEFT(N113,2))=0),"기본값 미등록",IF(AND(H113&lt;&gt;"",COUNTIF($B$5:$B$200,H113)=0),"이전 코드 없음","OK"))))))</f>
        <v/>
      </c>
    </row>
    <row r="114" spans="1:21" x14ac:dyDescent="0.3">
      <c r="A114" s="3" t="str">
        <f t="shared" si="9"/>
        <v/>
      </c>
      <c r="B114" s="11"/>
      <c r="C114" s="5" t="str">
        <f>IF(B114="","",IFERROR(INDEX(코드목록!$C$2:$C$20,MATCH(LEFT(B114,1),코드목록!$B$2:$B$20,0)),"?"))</f>
        <v/>
      </c>
      <c r="D114" s="11"/>
      <c r="E114" s="11"/>
      <c r="F114" s="5" t="str">
        <f>IF(E114="","",IFERROR(INDEX(칩코드!$C$5:$C$60,MATCH(E114,칩코드!$A$5:$A$60,0)),"?"))</f>
        <v/>
      </c>
      <c r="G114" s="12"/>
      <c r="H114" s="11"/>
      <c r="I114" s="11"/>
      <c r="J114" s="11"/>
      <c r="K114" s="11"/>
      <c r="L114" s="12"/>
      <c r="M114" s="12"/>
      <c r="N114" s="11"/>
      <c r="O114" s="12"/>
      <c r="P114" s="12"/>
      <c r="Q114" s="12"/>
      <c r="R114" s="5" t="str">
        <f t="shared" si="10"/>
        <v/>
      </c>
      <c r="S114" s="5" t="str">
        <f t="shared" si="11"/>
        <v/>
      </c>
      <c r="T114" s="3" t="str">
        <f>IF(B114="","",IF(LEN(B114)&lt;&gt;3,"3자리 아님",IF(SUMPRODUCT(--ISERROR(FIND(MID(B114,{1,2,3},1),"ABCDEFGHIJKLMNOPQRSTUVWXYZ0123456789")))&gt;0,"문자 오류",IF(COUNTIF(코드목록!$B$2:$B$20,LEFT(B114,1))=0,"구분 오류",IF(AND(LEFT(B114,1)="M",RIGHT(B114,1)&lt;&gt;"0"),"모듈 리비전은 0",IF(AND(LEFT(B114,1)&lt;&gt;"M",RIGHT(B114,1)="0"),"리비전은 1부터",IF(COUNTIF($B$5:$B$200,B114)&gt;1,"중복","OK")))))))</f>
        <v/>
      </c>
      <c r="U114" s="3" t="str">
        <f>IF(B114="","",IF(COUNTIF(칩코드!$A$5:$A$60,E114)=0,"칩 미등록",IF(AND(OR(LEFT(B114,1)="C",LEFT(B114,1)="D"),I114=""),"고객 코드 필요",IF(AND(I114&lt;&gt;"",COUNTIF(고객코드!$A$5:$A$200,I114)=0),"고객 미등록",IF(AND(N114&lt;&gt;"",COUNTIF(고객코드!$A$5:$A$200,LEFT(N114,2))=0),"기본값 미등록",IF(AND(H114&lt;&gt;"",COUNTIF($B$5:$B$200,H114)=0),"이전 코드 없음","OK"))))))</f>
        <v/>
      </c>
    </row>
    <row r="115" spans="1:21" x14ac:dyDescent="0.3">
      <c r="A115" s="3" t="str">
        <f t="shared" si="9"/>
        <v/>
      </c>
      <c r="B115" s="11"/>
      <c r="C115" s="5" t="str">
        <f>IF(B115="","",IFERROR(INDEX(코드목록!$C$2:$C$20,MATCH(LEFT(B115,1),코드목록!$B$2:$B$20,0)),"?"))</f>
        <v/>
      </c>
      <c r="D115" s="11"/>
      <c r="E115" s="11"/>
      <c r="F115" s="5" t="str">
        <f>IF(E115="","",IFERROR(INDEX(칩코드!$C$5:$C$60,MATCH(E115,칩코드!$A$5:$A$60,0)),"?"))</f>
        <v/>
      </c>
      <c r="G115" s="12"/>
      <c r="H115" s="11"/>
      <c r="I115" s="11"/>
      <c r="J115" s="11"/>
      <c r="K115" s="11"/>
      <c r="L115" s="12"/>
      <c r="M115" s="12"/>
      <c r="N115" s="11"/>
      <c r="O115" s="12"/>
      <c r="P115" s="12"/>
      <c r="Q115" s="12"/>
      <c r="R115" s="5" t="str">
        <f t="shared" si="10"/>
        <v/>
      </c>
      <c r="S115" s="5" t="str">
        <f t="shared" si="11"/>
        <v/>
      </c>
      <c r="T115" s="3" t="str">
        <f>IF(B115="","",IF(LEN(B115)&lt;&gt;3,"3자리 아님",IF(SUMPRODUCT(--ISERROR(FIND(MID(B115,{1,2,3},1),"ABCDEFGHIJKLMNOPQRSTUVWXYZ0123456789")))&gt;0,"문자 오류",IF(COUNTIF(코드목록!$B$2:$B$20,LEFT(B115,1))=0,"구분 오류",IF(AND(LEFT(B115,1)="M",RIGHT(B115,1)&lt;&gt;"0"),"모듈 리비전은 0",IF(AND(LEFT(B115,1)&lt;&gt;"M",RIGHT(B115,1)="0"),"리비전은 1부터",IF(COUNTIF($B$5:$B$200,B115)&gt;1,"중복","OK")))))))</f>
        <v/>
      </c>
      <c r="U115" s="3" t="str">
        <f>IF(B115="","",IF(COUNTIF(칩코드!$A$5:$A$60,E115)=0,"칩 미등록",IF(AND(OR(LEFT(B115,1)="C",LEFT(B115,1)="D"),I115=""),"고객 코드 필요",IF(AND(I115&lt;&gt;"",COUNTIF(고객코드!$A$5:$A$200,I115)=0),"고객 미등록",IF(AND(N115&lt;&gt;"",COUNTIF(고객코드!$A$5:$A$200,LEFT(N115,2))=0),"기본값 미등록",IF(AND(H115&lt;&gt;"",COUNTIF($B$5:$B$200,H115)=0),"이전 코드 없음","OK"))))))</f>
        <v/>
      </c>
    </row>
    <row r="116" spans="1:21" x14ac:dyDescent="0.3">
      <c r="A116" s="3" t="str">
        <f t="shared" si="9"/>
        <v/>
      </c>
      <c r="B116" s="11"/>
      <c r="C116" s="5" t="str">
        <f>IF(B116="","",IFERROR(INDEX(코드목록!$C$2:$C$20,MATCH(LEFT(B116,1),코드목록!$B$2:$B$20,0)),"?"))</f>
        <v/>
      </c>
      <c r="D116" s="11"/>
      <c r="E116" s="11"/>
      <c r="F116" s="5" t="str">
        <f>IF(E116="","",IFERROR(INDEX(칩코드!$C$5:$C$60,MATCH(E116,칩코드!$A$5:$A$60,0)),"?"))</f>
        <v/>
      </c>
      <c r="G116" s="12"/>
      <c r="H116" s="11"/>
      <c r="I116" s="11"/>
      <c r="J116" s="11"/>
      <c r="K116" s="11"/>
      <c r="L116" s="12"/>
      <c r="M116" s="12"/>
      <c r="N116" s="11"/>
      <c r="O116" s="12"/>
      <c r="P116" s="12"/>
      <c r="Q116" s="12"/>
      <c r="R116" s="5" t="str">
        <f t="shared" si="10"/>
        <v/>
      </c>
      <c r="S116" s="5" t="str">
        <f t="shared" si="11"/>
        <v/>
      </c>
      <c r="T116" s="3" t="str">
        <f>IF(B116="","",IF(LEN(B116)&lt;&gt;3,"3자리 아님",IF(SUMPRODUCT(--ISERROR(FIND(MID(B116,{1,2,3},1),"ABCDEFGHIJKLMNOPQRSTUVWXYZ0123456789")))&gt;0,"문자 오류",IF(COUNTIF(코드목록!$B$2:$B$20,LEFT(B116,1))=0,"구분 오류",IF(AND(LEFT(B116,1)="M",RIGHT(B116,1)&lt;&gt;"0"),"모듈 리비전은 0",IF(AND(LEFT(B116,1)&lt;&gt;"M",RIGHT(B116,1)="0"),"리비전은 1부터",IF(COUNTIF($B$5:$B$200,B116)&gt;1,"중복","OK")))))))</f>
        <v/>
      </c>
      <c r="U116" s="3" t="str">
        <f>IF(B116="","",IF(COUNTIF(칩코드!$A$5:$A$60,E116)=0,"칩 미등록",IF(AND(OR(LEFT(B116,1)="C",LEFT(B116,1)="D"),I116=""),"고객 코드 필요",IF(AND(I116&lt;&gt;"",COUNTIF(고객코드!$A$5:$A$200,I116)=0),"고객 미등록",IF(AND(N116&lt;&gt;"",COUNTIF(고객코드!$A$5:$A$200,LEFT(N116,2))=0),"기본값 미등록",IF(AND(H116&lt;&gt;"",COUNTIF($B$5:$B$200,H116)=0),"이전 코드 없음","OK"))))))</f>
        <v/>
      </c>
    </row>
    <row r="117" spans="1:21" x14ac:dyDescent="0.3">
      <c r="A117" s="3" t="str">
        <f t="shared" si="9"/>
        <v/>
      </c>
      <c r="B117" s="11"/>
      <c r="C117" s="5" t="str">
        <f>IF(B117="","",IFERROR(INDEX(코드목록!$C$2:$C$20,MATCH(LEFT(B117,1),코드목록!$B$2:$B$20,0)),"?"))</f>
        <v/>
      </c>
      <c r="D117" s="11"/>
      <c r="E117" s="11"/>
      <c r="F117" s="5" t="str">
        <f>IF(E117="","",IFERROR(INDEX(칩코드!$C$5:$C$60,MATCH(E117,칩코드!$A$5:$A$60,0)),"?"))</f>
        <v/>
      </c>
      <c r="G117" s="12"/>
      <c r="H117" s="11"/>
      <c r="I117" s="11"/>
      <c r="J117" s="11"/>
      <c r="K117" s="11"/>
      <c r="L117" s="12"/>
      <c r="M117" s="12"/>
      <c r="N117" s="11"/>
      <c r="O117" s="12"/>
      <c r="P117" s="12"/>
      <c r="Q117" s="12"/>
      <c r="R117" s="5" t="str">
        <f t="shared" si="10"/>
        <v/>
      </c>
      <c r="S117" s="5" t="str">
        <f t="shared" si="11"/>
        <v/>
      </c>
      <c r="T117" s="3" t="str">
        <f>IF(B117="","",IF(LEN(B117)&lt;&gt;3,"3자리 아님",IF(SUMPRODUCT(--ISERROR(FIND(MID(B117,{1,2,3},1),"ABCDEFGHIJKLMNOPQRSTUVWXYZ0123456789")))&gt;0,"문자 오류",IF(COUNTIF(코드목록!$B$2:$B$20,LEFT(B117,1))=0,"구분 오류",IF(AND(LEFT(B117,1)="M",RIGHT(B117,1)&lt;&gt;"0"),"모듈 리비전은 0",IF(AND(LEFT(B117,1)&lt;&gt;"M",RIGHT(B117,1)="0"),"리비전은 1부터",IF(COUNTIF($B$5:$B$200,B117)&gt;1,"중복","OK")))))))</f>
        <v/>
      </c>
      <c r="U117" s="3" t="str">
        <f>IF(B117="","",IF(COUNTIF(칩코드!$A$5:$A$60,E117)=0,"칩 미등록",IF(AND(OR(LEFT(B117,1)="C",LEFT(B117,1)="D"),I117=""),"고객 코드 필요",IF(AND(I117&lt;&gt;"",COUNTIF(고객코드!$A$5:$A$200,I117)=0),"고객 미등록",IF(AND(N117&lt;&gt;"",COUNTIF(고객코드!$A$5:$A$200,LEFT(N117,2))=0),"기본값 미등록",IF(AND(H117&lt;&gt;"",COUNTIF($B$5:$B$200,H117)=0),"이전 코드 없음","OK"))))))</f>
        <v/>
      </c>
    </row>
    <row r="118" spans="1:21" x14ac:dyDescent="0.3">
      <c r="A118" s="3" t="str">
        <f t="shared" si="9"/>
        <v/>
      </c>
      <c r="B118" s="11"/>
      <c r="C118" s="5" t="str">
        <f>IF(B118="","",IFERROR(INDEX(코드목록!$C$2:$C$20,MATCH(LEFT(B118,1),코드목록!$B$2:$B$20,0)),"?"))</f>
        <v/>
      </c>
      <c r="D118" s="11"/>
      <c r="E118" s="11"/>
      <c r="F118" s="5" t="str">
        <f>IF(E118="","",IFERROR(INDEX(칩코드!$C$5:$C$60,MATCH(E118,칩코드!$A$5:$A$60,0)),"?"))</f>
        <v/>
      </c>
      <c r="G118" s="12"/>
      <c r="H118" s="11"/>
      <c r="I118" s="11"/>
      <c r="J118" s="11"/>
      <c r="K118" s="11"/>
      <c r="L118" s="12"/>
      <c r="M118" s="12"/>
      <c r="N118" s="11"/>
      <c r="O118" s="12"/>
      <c r="P118" s="12"/>
      <c r="Q118" s="12"/>
      <c r="R118" s="5" t="str">
        <f t="shared" si="10"/>
        <v/>
      </c>
      <c r="S118" s="5" t="str">
        <f t="shared" si="11"/>
        <v/>
      </c>
      <c r="T118" s="3" t="str">
        <f>IF(B118="","",IF(LEN(B118)&lt;&gt;3,"3자리 아님",IF(SUMPRODUCT(--ISERROR(FIND(MID(B118,{1,2,3},1),"ABCDEFGHIJKLMNOPQRSTUVWXYZ0123456789")))&gt;0,"문자 오류",IF(COUNTIF(코드목록!$B$2:$B$20,LEFT(B118,1))=0,"구분 오류",IF(AND(LEFT(B118,1)="M",RIGHT(B118,1)&lt;&gt;"0"),"모듈 리비전은 0",IF(AND(LEFT(B118,1)&lt;&gt;"M",RIGHT(B118,1)="0"),"리비전은 1부터",IF(COUNTIF($B$5:$B$200,B118)&gt;1,"중복","OK")))))))</f>
        <v/>
      </c>
      <c r="U118" s="3" t="str">
        <f>IF(B118="","",IF(COUNTIF(칩코드!$A$5:$A$60,E118)=0,"칩 미등록",IF(AND(OR(LEFT(B118,1)="C",LEFT(B118,1)="D"),I118=""),"고객 코드 필요",IF(AND(I118&lt;&gt;"",COUNTIF(고객코드!$A$5:$A$200,I118)=0),"고객 미등록",IF(AND(N118&lt;&gt;"",COUNTIF(고객코드!$A$5:$A$200,LEFT(N118,2))=0),"기본값 미등록",IF(AND(H118&lt;&gt;"",COUNTIF($B$5:$B$200,H118)=0),"이전 코드 없음","OK"))))))</f>
        <v/>
      </c>
    </row>
    <row r="119" spans="1:21" x14ac:dyDescent="0.3">
      <c r="A119" s="3" t="str">
        <f t="shared" si="9"/>
        <v/>
      </c>
      <c r="B119" s="11"/>
      <c r="C119" s="5" t="str">
        <f>IF(B119="","",IFERROR(INDEX(코드목록!$C$2:$C$20,MATCH(LEFT(B119,1),코드목록!$B$2:$B$20,0)),"?"))</f>
        <v/>
      </c>
      <c r="D119" s="11"/>
      <c r="E119" s="11"/>
      <c r="F119" s="5" t="str">
        <f>IF(E119="","",IFERROR(INDEX(칩코드!$C$5:$C$60,MATCH(E119,칩코드!$A$5:$A$60,0)),"?"))</f>
        <v/>
      </c>
      <c r="G119" s="12"/>
      <c r="H119" s="11"/>
      <c r="I119" s="11"/>
      <c r="J119" s="11"/>
      <c r="K119" s="11"/>
      <c r="L119" s="12"/>
      <c r="M119" s="12"/>
      <c r="N119" s="11"/>
      <c r="O119" s="12"/>
      <c r="P119" s="12"/>
      <c r="Q119" s="12"/>
      <c r="R119" s="5" t="str">
        <f t="shared" si="10"/>
        <v/>
      </c>
      <c r="S119" s="5" t="str">
        <f t="shared" si="11"/>
        <v/>
      </c>
      <c r="T119" s="3" t="str">
        <f>IF(B119="","",IF(LEN(B119)&lt;&gt;3,"3자리 아님",IF(SUMPRODUCT(--ISERROR(FIND(MID(B119,{1,2,3},1),"ABCDEFGHIJKLMNOPQRSTUVWXYZ0123456789")))&gt;0,"문자 오류",IF(COUNTIF(코드목록!$B$2:$B$20,LEFT(B119,1))=0,"구분 오류",IF(AND(LEFT(B119,1)="M",RIGHT(B119,1)&lt;&gt;"0"),"모듈 리비전은 0",IF(AND(LEFT(B119,1)&lt;&gt;"M",RIGHT(B119,1)="0"),"리비전은 1부터",IF(COUNTIF($B$5:$B$200,B119)&gt;1,"중복","OK")))))))</f>
        <v/>
      </c>
      <c r="U119" s="3" t="str">
        <f>IF(B119="","",IF(COUNTIF(칩코드!$A$5:$A$60,E119)=0,"칩 미등록",IF(AND(OR(LEFT(B119,1)="C",LEFT(B119,1)="D"),I119=""),"고객 코드 필요",IF(AND(I119&lt;&gt;"",COUNTIF(고객코드!$A$5:$A$200,I119)=0),"고객 미등록",IF(AND(N119&lt;&gt;"",COUNTIF(고객코드!$A$5:$A$200,LEFT(N119,2))=0),"기본값 미등록",IF(AND(H119&lt;&gt;"",COUNTIF($B$5:$B$200,H119)=0),"이전 코드 없음","OK"))))))</f>
        <v/>
      </c>
    </row>
    <row r="120" spans="1:21" x14ac:dyDescent="0.3">
      <c r="A120" s="3" t="str">
        <f t="shared" si="9"/>
        <v/>
      </c>
      <c r="B120" s="11"/>
      <c r="C120" s="5" t="str">
        <f>IF(B120="","",IFERROR(INDEX(코드목록!$C$2:$C$20,MATCH(LEFT(B120,1),코드목록!$B$2:$B$20,0)),"?"))</f>
        <v/>
      </c>
      <c r="D120" s="11"/>
      <c r="E120" s="11"/>
      <c r="F120" s="5" t="str">
        <f>IF(E120="","",IFERROR(INDEX(칩코드!$C$5:$C$60,MATCH(E120,칩코드!$A$5:$A$60,0)),"?"))</f>
        <v/>
      </c>
      <c r="G120" s="12"/>
      <c r="H120" s="11"/>
      <c r="I120" s="11"/>
      <c r="J120" s="11"/>
      <c r="K120" s="11"/>
      <c r="L120" s="12"/>
      <c r="M120" s="12"/>
      <c r="N120" s="11"/>
      <c r="O120" s="12"/>
      <c r="P120" s="12"/>
      <c r="Q120" s="12"/>
      <c r="R120" s="5" t="str">
        <f t="shared" si="10"/>
        <v/>
      </c>
      <c r="S120" s="5" t="str">
        <f t="shared" si="11"/>
        <v/>
      </c>
      <c r="T120" s="3" t="str">
        <f>IF(B120="","",IF(LEN(B120)&lt;&gt;3,"3자리 아님",IF(SUMPRODUCT(--ISERROR(FIND(MID(B120,{1,2,3},1),"ABCDEFGHIJKLMNOPQRSTUVWXYZ0123456789")))&gt;0,"문자 오류",IF(COUNTIF(코드목록!$B$2:$B$20,LEFT(B120,1))=0,"구분 오류",IF(AND(LEFT(B120,1)="M",RIGHT(B120,1)&lt;&gt;"0"),"모듈 리비전은 0",IF(AND(LEFT(B120,1)&lt;&gt;"M",RIGHT(B120,1)="0"),"리비전은 1부터",IF(COUNTIF($B$5:$B$200,B120)&gt;1,"중복","OK")))))))</f>
        <v/>
      </c>
      <c r="U120" s="3" t="str">
        <f>IF(B120="","",IF(COUNTIF(칩코드!$A$5:$A$60,E120)=0,"칩 미등록",IF(AND(OR(LEFT(B120,1)="C",LEFT(B120,1)="D"),I120=""),"고객 코드 필요",IF(AND(I120&lt;&gt;"",COUNTIF(고객코드!$A$5:$A$200,I120)=0),"고객 미등록",IF(AND(N120&lt;&gt;"",COUNTIF(고객코드!$A$5:$A$200,LEFT(N120,2))=0),"기본값 미등록",IF(AND(H120&lt;&gt;"",COUNTIF($B$5:$B$200,H120)=0),"이전 코드 없음","OK"))))))</f>
        <v/>
      </c>
    </row>
    <row r="121" spans="1:21" x14ac:dyDescent="0.3">
      <c r="A121" s="3" t="str">
        <f t="shared" si="9"/>
        <v/>
      </c>
      <c r="B121" s="11"/>
      <c r="C121" s="5" t="str">
        <f>IF(B121="","",IFERROR(INDEX(코드목록!$C$2:$C$20,MATCH(LEFT(B121,1),코드목록!$B$2:$B$20,0)),"?"))</f>
        <v/>
      </c>
      <c r="D121" s="11"/>
      <c r="E121" s="11"/>
      <c r="F121" s="5" t="str">
        <f>IF(E121="","",IFERROR(INDEX(칩코드!$C$5:$C$60,MATCH(E121,칩코드!$A$5:$A$60,0)),"?"))</f>
        <v/>
      </c>
      <c r="G121" s="12"/>
      <c r="H121" s="11"/>
      <c r="I121" s="11"/>
      <c r="J121" s="11"/>
      <c r="K121" s="11"/>
      <c r="L121" s="12"/>
      <c r="M121" s="12"/>
      <c r="N121" s="11"/>
      <c r="O121" s="12"/>
      <c r="P121" s="12"/>
      <c r="Q121" s="12"/>
      <c r="R121" s="5" t="str">
        <f t="shared" si="10"/>
        <v/>
      </c>
      <c r="S121" s="5" t="str">
        <f t="shared" si="11"/>
        <v/>
      </c>
      <c r="T121" s="3" t="str">
        <f>IF(B121="","",IF(LEN(B121)&lt;&gt;3,"3자리 아님",IF(SUMPRODUCT(--ISERROR(FIND(MID(B121,{1,2,3},1),"ABCDEFGHIJKLMNOPQRSTUVWXYZ0123456789")))&gt;0,"문자 오류",IF(COUNTIF(코드목록!$B$2:$B$20,LEFT(B121,1))=0,"구분 오류",IF(AND(LEFT(B121,1)="M",RIGHT(B121,1)&lt;&gt;"0"),"모듈 리비전은 0",IF(AND(LEFT(B121,1)&lt;&gt;"M",RIGHT(B121,1)="0"),"리비전은 1부터",IF(COUNTIF($B$5:$B$200,B121)&gt;1,"중복","OK")))))))</f>
        <v/>
      </c>
      <c r="U121" s="3" t="str">
        <f>IF(B121="","",IF(COUNTIF(칩코드!$A$5:$A$60,E121)=0,"칩 미등록",IF(AND(OR(LEFT(B121,1)="C",LEFT(B121,1)="D"),I121=""),"고객 코드 필요",IF(AND(I121&lt;&gt;"",COUNTIF(고객코드!$A$5:$A$200,I121)=0),"고객 미등록",IF(AND(N121&lt;&gt;"",COUNTIF(고객코드!$A$5:$A$200,LEFT(N121,2))=0),"기본값 미등록",IF(AND(H121&lt;&gt;"",COUNTIF($B$5:$B$200,H121)=0),"이전 코드 없음","OK"))))))</f>
        <v/>
      </c>
    </row>
    <row r="122" spans="1:21" x14ac:dyDescent="0.3">
      <c r="A122" s="3" t="str">
        <f t="shared" si="9"/>
        <v/>
      </c>
      <c r="B122" s="11"/>
      <c r="C122" s="5" t="str">
        <f>IF(B122="","",IFERROR(INDEX(코드목록!$C$2:$C$20,MATCH(LEFT(B122,1),코드목록!$B$2:$B$20,0)),"?"))</f>
        <v/>
      </c>
      <c r="D122" s="11"/>
      <c r="E122" s="11"/>
      <c r="F122" s="5" t="str">
        <f>IF(E122="","",IFERROR(INDEX(칩코드!$C$5:$C$60,MATCH(E122,칩코드!$A$5:$A$60,0)),"?"))</f>
        <v/>
      </c>
      <c r="G122" s="12"/>
      <c r="H122" s="11"/>
      <c r="I122" s="11"/>
      <c r="J122" s="11"/>
      <c r="K122" s="11"/>
      <c r="L122" s="12"/>
      <c r="M122" s="12"/>
      <c r="N122" s="11"/>
      <c r="O122" s="12"/>
      <c r="P122" s="12"/>
      <c r="Q122" s="12"/>
      <c r="R122" s="5" t="str">
        <f t="shared" si="10"/>
        <v/>
      </c>
      <c r="S122" s="5" t="str">
        <f t="shared" si="11"/>
        <v/>
      </c>
      <c r="T122" s="3" t="str">
        <f>IF(B122="","",IF(LEN(B122)&lt;&gt;3,"3자리 아님",IF(SUMPRODUCT(--ISERROR(FIND(MID(B122,{1,2,3},1),"ABCDEFGHIJKLMNOPQRSTUVWXYZ0123456789")))&gt;0,"문자 오류",IF(COUNTIF(코드목록!$B$2:$B$20,LEFT(B122,1))=0,"구분 오류",IF(AND(LEFT(B122,1)="M",RIGHT(B122,1)&lt;&gt;"0"),"모듈 리비전은 0",IF(AND(LEFT(B122,1)&lt;&gt;"M",RIGHT(B122,1)="0"),"리비전은 1부터",IF(COUNTIF($B$5:$B$200,B122)&gt;1,"중복","OK")))))))</f>
        <v/>
      </c>
      <c r="U122" s="3" t="str">
        <f>IF(B122="","",IF(COUNTIF(칩코드!$A$5:$A$60,E122)=0,"칩 미등록",IF(AND(OR(LEFT(B122,1)="C",LEFT(B122,1)="D"),I122=""),"고객 코드 필요",IF(AND(I122&lt;&gt;"",COUNTIF(고객코드!$A$5:$A$200,I122)=0),"고객 미등록",IF(AND(N122&lt;&gt;"",COUNTIF(고객코드!$A$5:$A$200,LEFT(N122,2))=0),"기본값 미등록",IF(AND(H122&lt;&gt;"",COUNTIF($B$5:$B$200,H122)=0),"이전 코드 없음","OK"))))))</f>
        <v/>
      </c>
    </row>
    <row r="123" spans="1:21" x14ac:dyDescent="0.3">
      <c r="A123" s="3" t="str">
        <f t="shared" si="9"/>
        <v/>
      </c>
      <c r="B123" s="11"/>
      <c r="C123" s="5" t="str">
        <f>IF(B123="","",IFERROR(INDEX(코드목록!$C$2:$C$20,MATCH(LEFT(B123,1),코드목록!$B$2:$B$20,0)),"?"))</f>
        <v/>
      </c>
      <c r="D123" s="11"/>
      <c r="E123" s="11"/>
      <c r="F123" s="5" t="str">
        <f>IF(E123="","",IFERROR(INDEX(칩코드!$C$5:$C$60,MATCH(E123,칩코드!$A$5:$A$60,0)),"?"))</f>
        <v/>
      </c>
      <c r="G123" s="12"/>
      <c r="H123" s="11"/>
      <c r="I123" s="11"/>
      <c r="J123" s="11"/>
      <c r="K123" s="11"/>
      <c r="L123" s="12"/>
      <c r="M123" s="12"/>
      <c r="N123" s="11"/>
      <c r="O123" s="12"/>
      <c r="P123" s="12"/>
      <c r="Q123" s="12"/>
      <c r="R123" s="5" t="str">
        <f t="shared" si="10"/>
        <v/>
      </c>
      <c r="S123" s="5" t="str">
        <f t="shared" si="11"/>
        <v/>
      </c>
      <c r="T123" s="3" t="str">
        <f>IF(B123="","",IF(LEN(B123)&lt;&gt;3,"3자리 아님",IF(SUMPRODUCT(--ISERROR(FIND(MID(B123,{1,2,3},1),"ABCDEFGHIJKLMNOPQRSTUVWXYZ0123456789")))&gt;0,"문자 오류",IF(COUNTIF(코드목록!$B$2:$B$20,LEFT(B123,1))=0,"구분 오류",IF(AND(LEFT(B123,1)="M",RIGHT(B123,1)&lt;&gt;"0"),"모듈 리비전은 0",IF(AND(LEFT(B123,1)&lt;&gt;"M",RIGHT(B123,1)="0"),"리비전은 1부터",IF(COUNTIF($B$5:$B$200,B123)&gt;1,"중복","OK")))))))</f>
        <v/>
      </c>
      <c r="U123" s="3" t="str">
        <f>IF(B123="","",IF(COUNTIF(칩코드!$A$5:$A$60,E123)=0,"칩 미등록",IF(AND(OR(LEFT(B123,1)="C",LEFT(B123,1)="D"),I123=""),"고객 코드 필요",IF(AND(I123&lt;&gt;"",COUNTIF(고객코드!$A$5:$A$200,I123)=0),"고객 미등록",IF(AND(N123&lt;&gt;"",COUNTIF(고객코드!$A$5:$A$200,LEFT(N123,2))=0),"기본값 미등록",IF(AND(H123&lt;&gt;"",COUNTIF($B$5:$B$200,H123)=0),"이전 코드 없음","OK"))))))</f>
        <v/>
      </c>
    </row>
    <row r="124" spans="1:21" x14ac:dyDescent="0.3">
      <c r="A124" s="3" t="str">
        <f t="shared" si="9"/>
        <v/>
      </c>
      <c r="B124" s="11"/>
      <c r="C124" s="5" t="str">
        <f>IF(B124="","",IFERROR(INDEX(코드목록!$C$2:$C$20,MATCH(LEFT(B124,1),코드목록!$B$2:$B$20,0)),"?"))</f>
        <v/>
      </c>
      <c r="D124" s="11"/>
      <c r="E124" s="11"/>
      <c r="F124" s="5" t="str">
        <f>IF(E124="","",IFERROR(INDEX(칩코드!$C$5:$C$60,MATCH(E124,칩코드!$A$5:$A$60,0)),"?"))</f>
        <v/>
      </c>
      <c r="G124" s="12"/>
      <c r="H124" s="11"/>
      <c r="I124" s="11"/>
      <c r="J124" s="11"/>
      <c r="K124" s="11"/>
      <c r="L124" s="12"/>
      <c r="M124" s="12"/>
      <c r="N124" s="11"/>
      <c r="O124" s="12"/>
      <c r="P124" s="12"/>
      <c r="Q124" s="12"/>
      <c r="R124" s="5" t="str">
        <f t="shared" si="10"/>
        <v/>
      </c>
      <c r="S124" s="5" t="str">
        <f t="shared" si="11"/>
        <v/>
      </c>
      <c r="T124" s="3" t="str">
        <f>IF(B124="","",IF(LEN(B124)&lt;&gt;3,"3자리 아님",IF(SUMPRODUCT(--ISERROR(FIND(MID(B124,{1,2,3},1),"ABCDEFGHIJKLMNOPQRSTUVWXYZ0123456789")))&gt;0,"문자 오류",IF(COUNTIF(코드목록!$B$2:$B$20,LEFT(B124,1))=0,"구분 오류",IF(AND(LEFT(B124,1)="M",RIGHT(B124,1)&lt;&gt;"0"),"모듈 리비전은 0",IF(AND(LEFT(B124,1)&lt;&gt;"M",RIGHT(B124,1)="0"),"리비전은 1부터",IF(COUNTIF($B$5:$B$200,B124)&gt;1,"중복","OK")))))))</f>
        <v/>
      </c>
      <c r="U124" s="3" t="str">
        <f>IF(B124="","",IF(COUNTIF(칩코드!$A$5:$A$60,E124)=0,"칩 미등록",IF(AND(OR(LEFT(B124,1)="C",LEFT(B124,1)="D"),I124=""),"고객 코드 필요",IF(AND(I124&lt;&gt;"",COUNTIF(고객코드!$A$5:$A$200,I124)=0),"고객 미등록",IF(AND(N124&lt;&gt;"",COUNTIF(고객코드!$A$5:$A$200,LEFT(N124,2))=0),"기본값 미등록",IF(AND(H124&lt;&gt;"",COUNTIF($B$5:$B$200,H124)=0),"이전 코드 없음","OK"))))))</f>
        <v/>
      </c>
    </row>
    <row r="125" spans="1:21" x14ac:dyDescent="0.3">
      <c r="A125" s="3" t="str">
        <f t="shared" si="9"/>
        <v/>
      </c>
      <c r="B125" s="11"/>
      <c r="C125" s="5" t="str">
        <f>IF(B125="","",IFERROR(INDEX(코드목록!$C$2:$C$20,MATCH(LEFT(B125,1),코드목록!$B$2:$B$20,0)),"?"))</f>
        <v/>
      </c>
      <c r="D125" s="11"/>
      <c r="E125" s="11"/>
      <c r="F125" s="5" t="str">
        <f>IF(E125="","",IFERROR(INDEX(칩코드!$C$5:$C$60,MATCH(E125,칩코드!$A$5:$A$60,0)),"?"))</f>
        <v/>
      </c>
      <c r="G125" s="12"/>
      <c r="H125" s="11"/>
      <c r="I125" s="11"/>
      <c r="J125" s="11"/>
      <c r="K125" s="11"/>
      <c r="L125" s="12"/>
      <c r="M125" s="12"/>
      <c r="N125" s="11"/>
      <c r="O125" s="12"/>
      <c r="P125" s="12"/>
      <c r="Q125" s="12"/>
      <c r="R125" s="5" t="str">
        <f t="shared" si="10"/>
        <v/>
      </c>
      <c r="S125" s="5" t="str">
        <f t="shared" si="11"/>
        <v/>
      </c>
      <c r="T125" s="3" t="str">
        <f>IF(B125="","",IF(LEN(B125)&lt;&gt;3,"3자리 아님",IF(SUMPRODUCT(--ISERROR(FIND(MID(B125,{1,2,3},1),"ABCDEFGHIJKLMNOPQRSTUVWXYZ0123456789")))&gt;0,"문자 오류",IF(COUNTIF(코드목록!$B$2:$B$20,LEFT(B125,1))=0,"구분 오류",IF(AND(LEFT(B125,1)="M",RIGHT(B125,1)&lt;&gt;"0"),"모듈 리비전은 0",IF(AND(LEFT(B125,1)&lt;&gt;"M",RIGHT(B125,1)="0"),"리비전은 1부터",IF(COUNTIF($B$5:$B$200,B125)&gt;1,"중복","OK")))))))</f>
        <v/>
      </c>
      <c r="U125" s="3" t="str">
        <f>IF(B125="","",IF(COUNTIF(칩코드!$A$5:$A$60,E125)=0,"칩 미등록",IF(AND(OR(LEFT(B125,1)="C",LEFT(B125,1)="D"),I125=""),"고객 코드 필요",IF(AND(I125&lt;&gt;"",COUNTIF(고객코드!$A$5:$A$200,I125)=0),"고객 미등록",IF(AND(N125&lt;&gt;"",COUNTIF(고객코드!$A$5:$A$200,LEFT(N125,2))=0),"기본값 미등록",IF(AND(H125&lt;&gt;"",COUNTIF($B$5:$B$200,H125)=0),"이전 코드 없음","OK"))))))</f>
        <v/>
      </c>
    </row>
    <row r="126" spans="1:21" x14ac:dyDescent="0.3">
      <c r="A126" s="3" t="str">
        <f t="shared" si="9"/>
        <v/>
      </c>
      <c r="B126" s="11"/>
      <c r="C126" s="5" t="str">
        <f>IF(B126="","",IFERROR(INDEX(코드목록!$C$2:$C$20,MATCH(LEFT(B126,1),코드목록!$B$2:$B$20,0)),"?"))</f>
        <v/>
      </c>
      <c r="D126" s="11"/>
      <c r="E126" s="11"/>
      <c r="F126" s="5" t="str">
        <f>IF(E126="","",IFERROR(INDEX(칩코드!$C$5:$C$60,MATCH(E126,칩코드!$A$5:$A$60,0)),"?"))</f>
        <v/>
      </c>
      <c r="G126" s="12"/>
      <c r="H126" s="11"/>
      <c r="I126" s="11"/>
      <c r="J126" s="11"/>
      <c r="K126" s="11"/>
      <c r="L126" s="12"/>
      <c r="M126" s="12"/>
      <c r="N126" s="11"/>
      <c r="O126" s="12"/>
      <c r="P126" s="12"/>
      <c r="Q126" s="12"/>
      <c r="R126" s="5" t="str">
        <f t="shared" si="10"/>
        <v/>
      </c>
      <c r="S126" s="5" t="str">
        <f t="shared" si="11"/>
        <v/>
      </c>
      <c r="T126" s="3" t="str">
        <f>IF(B126="","",IF(LEN(B126)&lt;&gt;3,"3자리 아님",IF(SUMPRODUCT(--ISERROR(FIND(MID(B126,{1,2,3},1),"ABCDEFGHIJKLMNOPQRSTUVWXYZ0123456789")))&gt;0,"문자 오류",IF(COUNTIF(코드목록!$B$2:$B$20,LEFT(B126,1))=0,"구분 오류",IF(AND(LEFT(B126,1)="M",RIGHT(B126,1)&lt;&gt;"0"),"모듈 리비전은 0",IF(AND(LEFT(B126,1)&lt;&gt;"M",RIGHT(B126,1)="0"),"리비전은 1부터",IF(COUNTIF($B$5:$B$200,B126)&gt;1,"중복","OK")))))))</f>
        <v/>
      </c>
      <c r="U126" s="3" t="str">
        <f>IF(B126="","",IF(COUNTIF(칩코드!$A$5:$A$60,E126)=0,"칩 미등록",IF(AND(OR(LEFT(B126,1)="C",LEFT(B126,1)="D"),I126=""),"고객 코드 필요",IF(AND(I126&lt;&gt;"",COUNTIF(고객코드!$A$5:$A$200,I126)=0),"고객 미등록",IF(AND(N126&lt;&gt;"",COUNTIF(고객코드!$A$5:$A$200,LEFT(N126,2))=0),"기본값 미등록",IF(AND(H126&lt;&gt;"",COUNTIF($B$5:$B$200,H126)=0),"이전 코드 없음","OK"))))))</f>
        <v/>
      </c>
    </row>
    <row r="127" spans="1:21" x14ac:dyDescent="0.3">
      <c r="A127" s="3" t="str">
        <f t="shared" si="9"/>
        <v/>
      </c>
      <c r="B127" s="11"/>
      <c r="C127" s="5" t="str">
        <f>IF(B127="","",IFERROR(INDEX(코드목록!$C$2:$C$20,MATCH(LEFT(B127,1),코드목록!$B$2:$B$20,0)),"?"))</f>
        <v/>
      </c>
      <c r="D127" s="11"/>
      <c r="E127" s="11"/>
      <c r="F127" s="5" t="str">
        <f>IF(E127="","",IFERROR(INDEX(칩코드!$C$5:$C$60,MATCH(E127,칩코드!$A$5:$A$60,0)),"?"))</f>
        <v/>
      </c>
      <c r="G127" s="12"/>
      <c r="H127" s="11"/>
      <c r="I127" s="11"/>
      <c r="J127" s="11"/>
      <c r="K127" s="11"/>
      <c r="L127" s="12"/>
      <c r="M127" s="12"/>
      <c r="N127" s="11"/>
      <c r="O127" s="12"/>
      <c r="P127" s="12"/>
      <c r="Q127" s="12"/>
      <c r="R127" s="5" t="str">
        <f t="shared" si="10"/>
        <v/>
      </c>
      <c r="S127" s="5" t="str">
        <f t="shared" si="11"/>
        <v/>
      </c>
      <c r="T127" s="3" t="str">
        <f>IF(B127="","",IF(LEN(B127)&lt;&gt;3,"3자리 아님",IF(SUMPRODUCT(--ISERROR(FIND(MID(B127,{1,2,3},1),"ABCDEFGHIJKLMNOPQRSTUVWXYZ0123456789")))&gt;0,"문자 오류",IF(COUNTIF(코드목록!$B$2:$B$20,LEFT(B127,1))=0,"구분 오류",IF(AND(LEFT(B127,1)="M",RIGHT(B127,1)&lt;&gt;"0"),"모듈 리비전은 0",IF(AND(LEFT(B127,1)&lt;&gt;"M",RIGHT(B127,1)="0"),"리비전은 1부터",IF(COUNTIF($B$5:$B$200,B127)&gt;1,"중복","OK")))))))</f>
        <v/>
      </c>
      <c r="U127" s="3" t="str">
        <f>IF(B127="","",IF(COUNTIF(칩코드!$A$5:$A$60,E127)=0,"칩 미등록",IF(AND(OR(LEFT(B127,1)="C",LEFT(B127,1)="D"),I127=""),"고객 코드 필요",IF(AND(I127&lt;&gt;"",COUNTIF(고객코드!$A$5:$A$200,I127)=0),"고객 미등록",IF(AND(N127&lt;&gt;"",COUNTIF(고객코드!$A$5:$A$200,LEFT(N127,2))=0),"기본값 미등록",IF(AND(H127&lt;&gt;"",COUNTIF($B$5:$B$200,H127)=0),"이전 코드 없음","OK"))))))</f>
        <v/>
      </c>
    </row>
    <row r="128" spans="1:21" x14ac:dyDescent="0.3">
      <c r="A128" s="3" t="str">
        <f t="shared" si="9"/>
        <v/>
      </c>
      <c r="B128" s="11"/>
      <c r="C128" s="5" t="str">
        <f>IF(B128="","",IFERROR(INDEX(코드목록!$C$2:$C$20,MATCH(LEFT(B128,1),코드목록!$B$2:$B$20,0)),"?"))</f>
        <v/>
      </c>
      <c r="D128" s="11"/>
      <c r="E128" s="11"/>
      <c r="F128" s="5" t="str">
        <f>IF(E128="","",IFERROR(INDEX(칩코드!$C$5:$C$60,MATCH(E128,칩코드!$A$5:$A$60,0)),"?"))</f>
        <v/>
      </c>
      <c r="G128" s="12"/>
      <c r="H128" s="11"/>
      <c r="I128" s="11"/>
      <c r="J128" s="11"/>
      <c r="K128" s="11"/>
      <c r="L128" s="12"/>
      <c r="M128" s="12"/>
      <c r="N128" s="11"/>
      <c r="O128" s="12"/>
      <c r="P128" s="12"/>
      <c r="Q128" s="12"/>
      <c r="R128" s="5" t="str">
        <f t="shared" si="10"/>
        <v/>
      </c>
      <c r="S128" s="5" t="str">
        <f t="shared" si="11"/>
        <v/>
      </c>
      <c r="T128" s="3" t="str">
        <f>IF(B128="","",IF(LEN(B128)&lt;&gt;3,"3자리 아님",IF(SUMPRODUCT(--ISERROR(FIND(MID(B128,{1,2,3},1),"ABCDEFGHIJKLMNOPQRSTUVWXYZ0123456789")))&gt;0,"문자 오류",IF(COUNTIF(코드목록!$B$2:$B$20,LEFT(B128,1))=0,"구분 오류",IF(AND(LEFT(B128,1)="M",RIGHT(B128,1)&lt;&gt;"0"),"모듈 리비전은 0",IF(AND(LEFT(B128,1)&lt;&gt;"M",RIGHT(B128,1)="0"),"리비전은 1부터",IF(COUNTIF($B$5:$B$200,B128)&gt;1,"중복","OK")))))))</f>
        <v/>
      </c>
      <c r="U128" s="3" t="str">
        <f>IF(B128="","",IF(COUNTIF(칩코드!$A$5:$A$60,E128)=0,"칩 미등록",IF(AND(OR(LEFT(B128,1)="C",LEFT(B128,1)="D"),I128=""),"고객 코드 필요",IF(AND(I128&lt;&gt;"",COUNTIF(고객코드!$A$5:$A$200,I128)=0),"고객 미등록",IF(AND(N128&lt;&gt;"",COUNTIF(고객코드!$A$5:$A$200,LEFT(N128,2))=0),"기본값 미등록",IF(AND(H128&lt;&gt;"",COUNTIF($B$5:$B$200,H128)=0),"이전 코드 없음","OK"))))))</f>
        <v/>
      </c>
    </row>
    <row r="129" spans="1:21" x14ac:dyDescent="0.3">
      <c r="A129" s="3" t="str">
        <f t="shared" si="9"/>
        <v/>
      </c>
      <c r="B129" s="11"/>
      <c r="C129" s="5" t="str">
        <f>IF(B129="","",IFERROR(INDEX(코드목록!$C$2:$C$20,MATCH(LEFT(B129,1),코드목록!$B$2:$B$20,0)),"?"))</f>
        <v/>
      </c>
      <c r="D129" s="11"/>
      <c r="E129" s="11"/>
      <c r="F129" s="5" t="str">
        <f>IF(E129="","",IFERROR(INDEX(칩코드!$C$5:$C$60,MATCH(E129,칩코드!$A$5:$A$60,0)),"?"))</f>
        <v/>
      </c>
      <c r="G129" s="12"/>
      <c r="H129" s="11"/>
      <c r="I129" s="11"/>
      <c r="J129" s="11"/>
      <c r="K129" s="11"/>
      <c r="L129" s="12"/>
      <c r="M129" s="12"/>
      <c r="N129" s="11"/>
      <c r="O129" s="12"/>
      <c r="P129" s="12"/>
      <c r="Q129" s="12"/>
      <c r="R129" s="5" t="str">
        <f t="shared" si="10"/>
        <v/>
      </c>
      <c r="S129" s="5" t="str">
        <f t="shared" si="11"/>
        <v/>
      </c>
      <c r="T129" s="3" t="str">
        <f>IF(B129="","",IF(LEN(B129)&lt;&gt;3,"3자리 아님",IF(SUMPRODUCT(--ISERROR(FIND(MID(B129,{1,2,3},1),"ABCDEFGHIJKLMNOPQRSTUVWXYZ0123456789")))&gt;0,"문자 오류",IF(COUNTIF(코드목록!$B$2:$B$20,LEFT(B129,1))=0,"구분 오류",IF(AND(LEFT(B129,1)="M",RIGHT(B129,1)&lt;&gt;"0"),"모듈 리비전은 0",IF(AND(LEFT(B129,1)&lt;&gt;"M",RIGHT(B129,1)="0"),"리비전은 1부터",IF(COUNTIF($B$5:$B$200,B129)&gt;1,"중복","OK")))))))</f>
        <v/>
      </c>
      <c r="U129" s="3" t="str">
        <f>IF(B129="","",IF(COUNTIF(칩코드!$A$5:$A$60,E129)=0,"칩 미등록",IF(AND(OR(LEFT(B129,1)="C",LEFT(B129,1)="D"),I129=""),"고객 코드 필요",IF(AND(I129&lt;&gt;"",COUNTIF(고객코드!$A$5:$A$200,I129)=0),"고객 미등록",IF(AND(N129&lt;&gt;"",COUNTIF(고객코드!$A$5:$A$200,LEFT(N129,2))=0),"기본값 미등록",IF(AND(H129&lt;&gt;"",COUNTIF($B$5:$B$200,H129)=0),"이전 코드 없음","OK"))))))</f>
        <v/>
      </c>
    </row>
    <row r="130" spans="1:21" x14ac:dyDescent="0.3">
      <c r="A130" s="3" t="str">
        <f t="shared" si="9"/>
        <v/>
      </c>
      <c r="B130" s="11"/>
      <c r="C130" s="5" t="str">
        <f>IF(B130="","",IFERROR(INDEX(코드목록!$C$2:$C$20,MATCH(LEFT(B130,1),코드목록!$B$2:$B$20,0)),"?"))</f>
        <v/>
      </c>
      <c r="D130" s="11"/>
      <c r="E130" s="11"/>
      <c r="F130" s="5" t="str">
        <f>IF(E130="","",IFERROR(INDEX(칩코드!$C$5:$C$60,MATCH(E130,칩코드!$A$5:$A$60,0)),"?"))</f>
        <v/>
      </c>
      <c r="G130" s="12"/>
      <c r="H130" s="11"/>
      <c r="I130" s="11"/>
      <c r="J130" s="11"/>
      <c r="K130" s="11"/>
      <c r="L130" s="12"/>
      <c r="M130" s="12"/>
      <c r="N130" s="11"/>
      <c r="O130" s="12"/>
      <c r="P130" s="12"/>
      <c r="Q130" s="12"/>
      <c r="R130" s="5" t="str">
        <f t="shared" si="10"/>
        <v/>
      </c>
      <c r="S130" s="5" t="str">
        <f t="shared" si="11"/>
        <v/>
      </c>
      <c r="T130" s="3" t="str">
        <f>IF(B130="","",IF(LEN(B130)&lt;&gt;3,"3자리 아님",IF(SUMPRODUCT(--ISERROR(FIND(MID(B130,{1,2,3},1),"ABCDEFGHIJKLMNOPQRSTUVWXYZ0123456789")))&gt;0,"문자 오류",IF(COUNTIF(코드목록!$B$2:$B$20,LEFT(B130,1))=0,"구분 오류",IF(AND(LEFT(B130,1)="M",RIGHT(B130,1)&lt;&gt;"0"),"모듈 리비전은 0",IF(AND(LEFT(B130,1)&lt;&gt;"M",RIGHT(B130,1)="0"),"리비전은 1부터",IF(COUNTIF($B$5:$B$200,B130)&gt;1,"중복","OK")))))))</f>
        <v/>
      </c>
      <c r="U130" s="3" t="str">
        <f>IF(B130="","",IF(COUNTIF(칩코드!$A$5:$A$60,E130)=0,"칩 미등록",IF(AND(OR(LEFT(B130,1)="C",LEFT(B130,1)="D"),I130=""),"고객 코드 필요",IF(AND(I130&lt;&gt;"",COUNTIF(고객코드!$A$5:$A$200,I130)=0),"고객 미등록",IF(AND(N130&lt;&gt;"",COUNTIF(고객코드!$A$5:$A$200,LEFT(N130,2))=0),"기본값 미등록",IF(AND(H130&lt;&gt;"",COUNTIF($B$5:$B$200,H130)=0),"이전 코드 없음","OK"))))))</f>
        <v/>
      </c>
    </row>
    <row r="131" spans="1:21" x14ac:dyDescent="0.3">
      <c r="A131" s="3" t="str">
        <f t="shared" si="9"/>
        <v/>
      </c>
      <c r="B131" s="11"/>
      <c r="C131" s="5" t="str">
        <f>IF(B131="","",IFERROR(INDEX(코드목록!$C$2:$C$20,MATCH(LEFT(B131,1),코드목록!$B$2:$B$20,0)),"?"))</f>
        <v/>
      </c>
      <c r="D131" s="11"/>
      <c r="E131" s="11"/>
      <c r="F131" s="5" t="str">
        <f>IF(E131="","",IFERROR(INDEX(칩코드!$C$5:$C$60,MATCH(E131,칩코드!$A$5:$A$60,0)),"?"))</f>
        <v/>
      </c>
      <c r="G131" s="12"/>
      <c r="H131" s="11"/>
      <c r="I131" s="11"/>
      <c r="J131" s="11"/>
      <c r="K131" s="11"/>
      <c r="L131" s="12"/>
      <c r="M131" s="12"/>
      <c r="N131" s="11"/>
      <c r="O131" s="12"/>
      <c r="P131" s="12"/>
      <c r="Q131" s="12"/>
      <c r="R131" s="5" t="str">
        <f t="shared" si="10"/>
        <v/>
      </c>
      <c r="S131" s="5" t="str">
        <f t="shared" si="11"/>
        <v/>
      </c>
      <c r="T131" s="3" t="str">
        <f>IF(B131="","",IF(LEN(B131)&lt;&gt;3,"3자리 아님",IF(SUMPRODUCT(--ISERROR(FIND(MID(B131,{1,2,3},1),"ABCDEFGHIJKLMNOPQRSTUVWXYZ0123456789")))&gt;0,"문자 오류",IF(COUNTIF(코드목록!$B$2:$B$20,LEFT(B131,1))=0,"구분 오류",IF(AND(LEFT(B131,1)="M",RIGHT(B131,1)&lt;&gt;"0"),"모듈 리비전은 0",IF(AND(LEFT(B131,1)&lt;&gt;"M",RIGHT(B131,1)="0"),"리비전은 1부터",IF(COUNTIF($B$5:$B$200,B131)&gt;1,"중복","OK")))))))</f>
        <v/>
      </c>
      <c r="U131" s="3" t="str">
        <f>IF(B131="","",IF(COUNTIF(칩코드!$A$5:$A$60,E131)=0,"칩 미등록",IF(AND(OR(LEFT(B131,1)="C",LEFT(B131,1)="D"),I131=""),"고객 코드 필요",IF(AND(I131&lt;&gt;"",COUNTIF(고객코드!$A$5:$A$200,I131)=0),"고객 미등록",IF(AND(N131&lt;&gt;"",COUNTIF(고객코드!$A$5:$A$200,LEFT(N131,2))=0),"기본값 미등록",IF(AND(H131&lt;&gt;"",COUNTIF($B$5:$B$200,H131)=0),"이전 코드 없음","OK"))))))</f>
        <v/>
      </c>
    </row>
    <row r="132" spans="1:21" x14ac:dyDescent="0.3">
      <c r="A132" s="3" t="str">
        <f t="shared" si="9"/>
        <v/>
      </c>
      <c r="B132" s="11"/>
      <c r="C132" s="5" t="str">
        <f>IF(B132="","",IFERROR(INDEX(코드목록!$C$2:$C$20,MATCH(LEFT(B132,1),코드목록!$B$2:$B$20,0)),"?"))</f>
        <v/>
      </c>
      <c r="D132" s="11"/>
      <c r="E132" s="11"/>
      <c r="F132" s="5" t="str">
        <f>IF(E132="","",IFERROR(INDEX(칩코드!$C$5:$C$60,MATCH(E132,칩코드!$A$5:$A$60,0)),"?"))</f>
        <v/>
      </c>
      <c r="G132" s="12"/>
      <c r="H132" s="11"/>
      <c r="I132" s="11"/>
      <c r="J132" s="11"/>
      <c r="K132" s="11"/>
      <c r="L132" s="12"/>
      <c r="M132" s="12"/>
      <c r="N132" s="11"/>
      <c r="O132" s="12"/>
      <c r="P132" s="12"/>
      <c r="Q132" s="12"/>
      <c r="R132" s="5" t="str">
        <f t="shared" si="10"/>
        <v/>
      </c>
      <c r="S132" s="5" t="str">
        <f t="shared" si="11"/>
        <v/>
      </c>
      <c r="T132" s="3" t="str">
        <f>IF(B132="","",IF(LEN(B132)&lt;&gt;3,"3자리 아님",IF(SUMPRODUCT(--ISERROR(FIND(MID(B132,{1,2,3},1),"ABCDEFGHIJKLMNOPQRSTUVWXYZ0123456789")))&gt;0,"문자 오류",IF(COUNTIF(코드목록!$B$2:$B$20,LEFT(B132,1))=0,"구분 오류",IF(AND(LEFT(B132,1)="M",RIGHT(B132,1)&lt;&gt;"0"),"모듈 리비전은 0",IF(AND(LEFT(B132,1)&lt;&gt;"M",RIGHT(B132,1)="0"),"리비전은 1부터",IF(COUNTIF($B$5:$B$200,B132)&gt;1,"중복","OK")))))))</f>
        <v/>
      </c>
      <c r="U132" s="3" t="str">
        <f>IF(B132="","",IF(COUNTIF(칩코드!$A$5:$A$60,E132)=0,"칩 미등록",IF(AND(OR(LEFT(B132,1)="C",LEFT(B132,1)="D"),I132=""),"고객 코드 필요",IF(AND(I132&lt;&gt;"",COUNTIF(고객코드!$A$5:$A$200,I132)=0),"고객 미등록",IF(AND(N132&lt;&gt;"",COUNTIF(고객코드!$A$5:$A$200,LEFT(N132,2))=0),"기본값 미등록",IF(AND(H132&lt;&gt;"",COUNTIF($B$5:$B$200,H132)=0),"이전 코드 없음","OK"))))))</f>
        <v/>
      </c>
    </row>
    <row r="133" spans="1:21" x14ac:dyDescent="0.3">
      <c r="A133" s="3" t="str">
        <f t="shared" ref="A133:A164" si="12">IF(B133="","",ROW()-4)</f>
        <v/>
      </c>
      <c r="B133" s="11"/>
      <c r="C133" s="5" t="str">
        <f>IF(B133="","",IFERROR(INDEX(코드목록!$C$2:$C$20,MATCH(LEFT(B133,1),코드목록!$B$2:$B$20,0)),"?"))</f>
        <v/>
      </c>
      <c r="D133" s="11"/>
      <c r="E133" s="11"/>
      <c r="F133" s="5" t="str">
        <f>IF(E133="","",IFERROR(INDEX(칩코드!$C$5:$C$60,MATCH(E133,칩코드!$A$5:$A$60,0)),"?"))</f>
        <v/>
      </c>
      <c r="G133" s="12"/>
      <c r="H133" s="11"/>
      <c r="I133" s="11"/>
      <c r="J133" s="11"/>
      <c r="K133" s="11"/>
      <c r="L133" s="12"/>
      <c r="M133" s="12"/>
      <c r="N133" s="11"/>
      <c r="O133" s="12"/>
      <c r="P133" s="12"/>
      <c r="Q133" s="12"/>
      <c r="R133" s="5" t="str">
        <f t="shared" ref="R133:R164" si="13">IF(OR(B133="",E133="",J133="",K133=""),"",E133&amp;"-"&amp;B133&amp;"-"&amp;J133&amp;"-"&amp;K133)</f>
        <v/>
      </c>
      <c r="S133" s="5" t="str">
        <f t="shared" ref="S133:S164" si="14">IF(R133="","","M2M_"&amp;R133&amp;"_AT-MM-"&amp;IF(M133="","UART",M133)&amp;"_V01.00_"&amp;IF(N133="","AC0",N133)&amp;"_0FN_YYMMDD.zip")</f>
        <v/>
      </c>
      <c r="T133" s="3" t="str">
        <f>IF(B133="","",IF(LEN(B133)&lt;&gt;3,"3자리 아님",IF(SUMPRODUCT(--ISERROR(FIND(MID(B133,{1,2,3},1),"ABCDEFGHIJKLMNOPQRSTUVWXYZ0123456789")))&gt;0,"문자 오류",IF(COUNTIF(코드목록!$B$2:$B$20,LEFT(B133,1))=0,"구분 오류",IF(AND(LEFT(B133,1)="M",RIGHT(B133,1)&lt;&gt;"0"),"모듈 리비전은 0",IF(AND(LEFT(B133,1)&lt;&gt;"M",RIGHT(B133,1)="0"),"리비전은 1부터",IF(COUNTIF($B$5:$B$200,B133)&gt;1,"중복","OK")))))))</f>
        <v/>
      </c>
      <c r="U133" s="3" t="str">
        <f>IF(B133="","",IF(COUNTIF(칩코드!$A$5:$A$60,E133)=0,"칩 미등록",IF(AND(OR(LEFT(B133,1)="C",LEFT(B133,1)="D"),I133=""),"고객 코드 필요",IF(AND(I133&lt;&gt;"",COUNTIF(고객코드!$A$5:$A$200,I133)=0),"고객 미등록",IF(AND(N133&lt;&gt;"",COUNTIF(고객코드!$A$5:$A$200,LEFT(N133,2))=0),"기본값 미등록",IF(AND(H133&lt;&gt;"",COUNTIF($B$5:$B$200,H133)=0),"이전 코드 없음","OK"))))))</f>
        <v/>
      </c>
    </row>
    <row r="134" spans="1:21" x14ac:dyDescent="0.3">
      <c r="A134" s="3" t="str">
        <f t="shared" si="12"/>
        <v/>
      </c>
      <c r="B134" s="11"/>
      <c r="C134" s="5" t="str">
        <f>IF(B134="","",IFERROR(INDEX(코드목록!$C$2:$C$20,MATCH(LEFT(B134,1),코드목록!$B$2:$B$20,0)),"?"))</f>
        <v/>
      </c>
      <c r="D134" s="11"/>
      <c r="E134" s="11"/>
      <c r="F134" s="5" t="str">
        <f>IF(E134="","",IFERROR(INDEX(칩코드!$C$5:$C$60,MATCH(E134,칩코드!$A$5:$A$60,0)),"?"))</f>
        <v/>
      </c>
      <c r="G134" s="12"/>
      <c r="H134" s="11"/>
      <c r="I134" s="11"/>
      <c r="J134" s="11"/>
      <c r="K134" s="11"/>
      <c r="L134" s="12"/>
      <c r="M134" s="12"/>
      <c r="N134" s="11"/>
      <c r="O134" s="12"/>
      <c r="P134" s="12"/>
      <c r="Q134" s="12"/>
      <c r="R134" s="5" t="str">
        <f t="shared" si="13"/>
        <v/>
      </c>
      <c r="S134" s="5" t="str">
        <f t="shared" si="14"/>
        <v/>
      </c>
      <c r="T134" s="3" t="str">
        <f>IF(B134="","",IF(LEN(B134)&lt;&gt;3,"3자리 아님",IF(SUMPRODUCT(--ISERROR(FIND(MID(B134,{1,2,3},1),"ABCDEFGHIJKLMNOPQRSTUVWXYZ0123456789")))&gt;0,"문자 오류",IF(COUNTIF(코드목록!$B$2:$B$20,LEFT(B134,1))=0,"구분 오류",IF(AND(LEFT(B134,1)="M",RIGHT(B134,1)&lt;&gt;"0"),"모듈 리비전은 0",IF(AND(LEFT(B134,1)&lt;&gt;"M",RIGHT(B134,1)="0"),"리비전은 1부터",IF(COUNTIF($B$5:$B$200,B134)&gt;1,"중복","OK")))))))</f>
        <v/>
      </c>
      <c r="U134" s="3" t="str">
        <f>IF(B134="","",IF(COUNTIF(칩코드!$A$5:$A$60,E134)=0,"칩 미등록",IF(AND(OR(LEFT(B134,1)="C",LEFT(B134,1)="D"),I134=""),"고객 코드 필요",IF(AND(I134&lt;&gt;"",COUNTIF(고객코드!$A$5:$A$200,I134)=0),"고객 미등록",IF(AND(N134&lt;&gt;"",COUNTIF(고객코드!$A$5:$A$200,LEFT(N134,2))=0),"기본값 미등록",IF(AND(H134&lt;&gt;"",COUNTIF($B$5:$B$200,H134)=0),"이전 코드 없음","OK"))))))</f>
        <v/>
      </c>
    </row>
    <row r="135" spans="1:21" x14ac:dyDescent="0.3">
      <c r="A135" s="3" t="str">
        <f t="shared" si="12"/>
        <v/>
      </c>
      <c r="B135" s="11"/>
      <c r="C135" s="5" t="str">
        <f>IF(B135="","",IFERROR(INDEX(코드목록!$C$2:$C$20,MATCH(LEFT(B135,1),코드목록!$B$2:$B$20,0)),"?"))</f>
        <v/>
      </c>
      <c r="D135" s="11"/>
      <c r="E135" s="11"/>
      <c r="F135" s="5" t="str">
        <f>IF(E135="","",IFERROR(INDEX(칩코드!$C$5:$C$60,MATCH(E135,칩코드!$A$5:$A$60,0)),"?"))</f>
        <v/>
      </c>
      <c r="G135" s="12"/>
      <c r="H135" s="11"/>
      <c r="I135" s="11"/>
      <c r="J135" s="11"/>
      <c r="K135" s="11"/>
      <c r="L135" s="12"/>
      <c r="M135" s="12"/>
      <c r="N135" s="11"/>
      <c r="O135" s="12"/>
      <c r="P135" s="12"/>
      <c r="Q135" s="12"/>
      <c r="R135" s="5" t="str">
        <f t="shared" si="13"/>
        <v/>
      </c>
      <c r="S135" s="5" t="str">
        <f t="shared" si="14"/>
        <v/>
      </c>
      <c r="T135" s="3" t="str">
        <f>IF(B135="","",IF(LEN(B135)&lt;&gt;3,"3자리 아님",IF(SUMPRODUCT(--ISERROR(FIND(MID(B135,{1,2,3},1),"ABCDEFGHIJKLMNOPQRSTUVWXYZ0123456789")))&gt;0,"문자 오류",IF(COUNTIF(코드목록!$B$2:$B$20,LEFT(B135,1))=0,"구분 오류",IF(AND(LEFT(B135,1)="M",RIGHT(B135,1)&lt;&gt;"0"),"모듈 리비전은 0",IF(AND(LEFT(B135,1)&lt;&gt;"M",RIGHT(B135,1)="0"),"리비전은 1부터",IF(COUNTIF($B$5:$B$200,B135)&gt;1,"중복","OK")))))))</f>
        <v/>
      </c>
      <c r="U135" s="3" t="str">
        <f>IF(B135="","",IF(COUNTIF(칩코드!$A$5:$A$60,E135)=0,"칩 미등록",IF(AND(OR(LEFT(B135,1)="C",LEFT(B135,1)="D"),I135=""),"고객 코드 필요",IF(AND(I135&lt;&gt;"",COUNTIF(고객코드!$A$5:$A$200,I135)=0),"고객 미등록",IF(AND(N135&lt;&gt;"",COUNTIF(고객코드!$A$5:$A$200,LEFT(N135,2))=0),"기본값 미등록",IF(AND(H135&lt;&gt;"",COUNTIF($B$5:$B$200,H135)=0),"이전 코드 없음","OK"))))))</f>
        <v/>
      </c>
    </row>
    <row r="136" spans="1:21" x14ac:dyDescent="0.3">
      <c r="A136" s="3" t="str">
        <f t="shared" si="12"/>
        <v/>
      </c>
      <c r="B136" s="11"/>
      <c r="C136" s="5" t="str">
        <f>IF(B136="","",IFERROR(INDEX(코드목록!$C$2:$C$20,MATCH(LEFT(B136,1),코드목록!$B$2:$B$20,0)),"?"))</f>
        <v/>
      </c>
      <c r="D136" s="11"/>
      <c r="E136" s="11"/>
      <c r="F136" s="5" t="str">
        <f>IF(E136="","",IFERROR(INDEX(칩코드!$C$5:$C$60,MATCH(E136,칩코드!$A$5:$A$60,0)),"?"))</f>
        <v/>
      </c>
      <c r="G136" s="12"/>
      <c r="H136" s="11"/>
      <c r="I136" s="11"/>
      <c r="J136" s="11"/>
      <c r="K136" s="11"/>
      <c r="L136" s="12"/>
      <c r="M136" s="12"/>
      <c r="N136" s="11"/>
      <c r="O136" s="12"/>
      <c r="P136" s="12"/>
      <c r="Q136" s="12"/>
      <c r="R136" s="5" t="str">
        <f t="shared" si="13"/>
        <v/>
      </c>
      <c r="S136" s="5" t="str">
        <f t="shared" si="14"/>
        <v/>
      </c>
      <c r="T136" s="3" t="str">
        <f>IF(B136="","",IF(LEN(B136)&lt;&gt;3,"3자리 아님",IF(SUMPRODUCT(--ISERROR(FIND(MID(B136,{1,2,3},1),"ABCDEFGHIJKLMNOPQRSTUVWXYZ0123456789")))&gt;0,"문자 오류",IF(COUNTIF(코드목록!$B$2:$B$20,LEFT(B136,1))=0,"구분 오류",IF(AND(LEFT(B136,1)="M",RIGHT(B136,1)&lt;&gt;"0"),"모듈 리비전은 0",IF(AND(LEFT(B136,1)&lt;&gt;"M",RIGHT(B136,1)="0"),"리비전은 1부터",IF(COUNTIF($B$5:$B$200,B136)&gt;1,"중복","OK")))))))</f>
        <v/>
      </c>
      <c r="U136" s="3" t="str">
        <f>IF(B136="","",IF(COUNTIF(칩코드!$A$5:$A$60,E136)=0,"칩 미등록",IF(AND(OR(LEFT(B136,1)="C",LEFT(B136,1)="D"),I136=""),"고객 코드 필요",IF(AND(I136&lt;&gt;"",COUNTIF(고객코드!$A$5:$A$200,I136)=0),"고객 미등록",IF(AND(N136&lt;&gt;"",COUNTIF(고객코드!$A$5:$A$200,LEFT(N136,2))=0),"기본값 미등록",IF(AND(H136&lt;&gt;"",COUNTIF($B$5:$B$200,H136)=0),"이전 코드 없음","OK"))))))</f>
        <v/>
      </c>
    </row>
    <row r="137" spans="1:21" x14ac:dyDescent="0.3">
      <c r="A137" s="3" t="str">
        <f t="shared" si="12"/>
        <v/>
      </c>
      <c r="B137" s="11"/>
      <c r="C137" s="5" t="str">
        <f>IF(B137="","",IFERROR(INDEX(코드목록!$C$2:$C$20,MATCH(LEFT(B137,1),코드목록!$B$2:$B$20,0)),"?"))</f>
        <v/>
      </c>
      <c r="D137" s="11"/>
      <c r="E137" s="11"/>
      <c r="F137" s="5" t="str">
        <f>IF(E137="","",IFERROR(INDEX(칩코드!$C$5:$C$60,MATCH(E137,칩코드!$A$5:$A$60,0)),"?"))</f>
        <v/>
      </c>
      <c r="G137" s="12"/>
      <c r="H137" s="11"/>
      <c r="I137" s="11"/>
      <c r="J137" s="11"/>
      <c r="K137" s="11"/>
      <c r="L137" s="12"/>
      <c r="M137" s="12"/>
      <c r="N137" s="11"/>
      <c r="O137" s="12"/>
      <c r="P137" s="12"/>
      <c r="Q137" s="12"/>
      <c r="R137" s="5" t="str">
        <f t="shared" si="13"/>
        <v/>
      </c>
      <c r="S137" s="5" t="str">
        <f t="shared" si="14"/>
        <v/>
      </c>
      <c r="T137" s="3" t="str">
        <f>IF(B137="","",IF(LEN(B137)&lt;&gt;3,"3자리 아님",IF(SUMPRODUCT(--ISERROR(FIND(MID(B137,{1,2,3},1),"ABCDEFGHIJKLMNOPQRSTUVWXYZ0123456789")))&gt;0,"문자 오류",IF(COUNTIF(코드목록!$B$2:$B$20,LEFT(B137,1))=0,"구분 오류",IF(AND(LEFT(B137,1)="M",RIGHT(B137,1)&lt;&gt;"0"),"모듈 리비전은 0",IF(AND(LEFT(B137,1)&lt;&gt;"M",RIGHT(B137,1)="0"),"리비전은 1부터",IF(COUNTIF($B$5:$B$200,B137)&gt;1,"중복","OK")))))))</f>
        <v/>
      </c>
      <c r="U137" s="3" t="str">
        <f>IF(B137="","",IF(COUNTIF(칩코드!$A$5:$A$60,E137)=0,"칩 미등록",IF(AND(OR(LEFT(B137,1)="C",LEFT(B137,1)="D"),I137=""),"고객 코드 필요",IF(AND(I137&lt;&gt;"",COUNTIF(고객코드!$A$5:$A$200,I137)=0),"고객 미등록",IF(AND(N137&lt;&gt;"",COUNTIF(고객코드!$A$5:$A$200,LEFT(N137,2))=0),"기본값 미등록",IF(AND(H137&lt;&gt;"",COUNTIF($B$5:$B$200,H137)=0),"이전 코드 없음","OK"))))))</f>
        <v/>
      </c>
    </row>
    <row r="138" spans="1:21" x14ac:dyDescent="0.3">
      <c r="A138" s="3" t="str">
        <f t="shared" si="12"/>
        <v/>
      </c>
      <c r="B138" s="11"/>
      <c r="C138" s="5" t="str">
        <f>IF(B138="","",IFERROR(INDEX(코드목록!$C$2:$C$20,MATCH(LEFT(B138,1),코드목록!$B$2:$B$20,0)),"?"))</f>
        <v/>
      </c>
      <c r="D138" s="11"/>
      <c r="E138" s="11"/>
      <c r="F138" s="5" t="str">
        <f>IF(E138="","",IFERROR(INDEX(칩코드!$C$5:$C$60,MATCH(E138,칩코드!$A$5:$A$60,0)),"?"))</f>
        <v/>
      </c>
      <c r="G138" s="12"/>
      <c r="H138" s="11"/>
      <c r="I138" s="11"/>
      <c r="J138" s="11"/>
      <c r="K138" s="11"/>
      <c r="L138" s="12"/>
      <c r="M138" s="12"/>
      <c r="N138" s="11"/>
      <c r="O138" s="12"/>
      <c r="P138" s="12"/>
      <c r="Q138" s="12"/>
      <c r="R138" s="5" t="str">
        <f t="shared" si="13"/>
        <v/>
      </c>
      <c r="S138" s="5" t="str">
        <f t="shared" si="14"/>
        <v/>
      </c>
      <c r="T138" s="3" t="str">
        <f>IF(B138="","",IF(LEN(B138)&lt;&gt;3,"3자리 아님",IF(SUMPRODUCT(--ISERROR(FIND(MID(B138,{1,2,3},1),"ABCDEFGHIJKLMNOPQRSTUVWXYZ0123456789")))&gt;0,"문자 오류",IF(COUNTIF(코드목록!$B$2:$B$20,LEFT(B138,1))=0,"구분 오류",IF(AND(LEFT(B138,1)="M",RIGHT(B138,1)&lt;&gt;"0"),"모듈 리비전은 0",IF(AND(LEFT(B138,1)&lt;&gt;"M",RIGHT(B138,1)="0"),"리비전은 1부터",IF(COUNTIF($B$5:$B$200,B138)&gt;1,"중복","OK")))))))</f>
        <v/>
      </c>
      <c r="U138" s="3" t="str">
        <f>IF(B138="","",IF(COUNTIF(칩코드!$A$5:$A$60,E138)=0,"칩 미등록",IF(AND(OR(LEFT(B138,1)="C",LEFT(B138,1)="D"),I138=""),"고객 코드 필요",IF(AND(I138&lt;&gt;"",COUNTIF(고객코드!$A$5:$A$200,I138)=0),"고객 미등록",IF(AND(N138&lt;&gt;"",COUNTIF(고객코드!$A$5:$A$200,LEFT(N138,2))=0),"기본값 미등록",IF(AND(H138&lt;&gt;"",COUNTIF($B$5:$B$200,H138)=0),"이전 코드 없음","OK"))))))</f>
        <v/>
      </c>
    </row>
    <row r="139" spans="1:21" x14ac:dyDescent="0.3">
      <c r="A139" s="3" t="str">
        <f t="shared" si="12"/>
        <v/>
      </c>
      <c r="B139" s="11"/>
      <c r="C139" s="5" t="str">
        <f>IF(B139="","",IFERROR(INDEX(코드목록!$C$2:$C$20,MATCH(LEFT(B139,1),코드목록!$B$2:$B$20,0)),"?"))</f>
        <v/>
      </c>
      <c r="D139" s="11"/>
      <c r="E139" s="11"/>
      <c r="F139" s="5" t="str">
        <f>IF(E139="","",IFERROR(INDEX(칩코드!$C$5:$C$60,MATCH(E139,칩코드!$A$5:$A$60,0)),"?"))</f>
        <v/>
      </c>
      <c r="G139" s="12"/>
      <c r="H139" s="11"/>
      <c r="I139" s="11"/>
      <c r="J139" s="11"/>
      <c r="K139" s="11"/>
      <c r="L139" s="12"/>
      <c r="M139" s="12"/>
      <c r="N139" s="11"/>
      <c r="O139" s="12"/>
      <c r="P139" s="12"/>
      <c r="Q139" s="12"/>
      <c r="R139" s="5" t="str">
        <f t="shared" si="13"/>
        <v/>
      </c>
      <c r="S139" s="5" t="str">
        <f t="shared" si="14"/>
        <v/>
      </c>
      <c r="T139" s="3" t="str">
        <f>IF(B139="","",IF(LEN(B139)&lt;&gt;3,"3자리 아님",IF(SUMPRODUCT(--ISERROR(FIND(MID(B139,{1,2,3},1),"ABCDEFGHIJKLMNOPQRSTUVWXYZ0123456789")))&gt;0,"문자 오류",IF(COUNTIF(코드목록!$B$2:$B$20,LEFT(B139,1))=0,"구분 오류",IF(AND(LEFT(B139,1)="M",RIGHT(B139,1)&lt;&gt;"0"),"모듈 리비전은 0",IF(AND(LEFT(B139,1)&lt;&gt;"M",RIGHT(B139,1)="0"),"리비전은 1부터",IF(COUNTIF($B$5:$B$200,B139)&gt;1,"중복","OK")))))))</f>
        <v/>
      </c>
      <c r="U139" s="3" t="str">
        <f>IF(B139="","",IF(COUNTIF(칩코드!$A$5:$A$60,E139)=0,"칩 미등록",IF(AND(OR(LEFT(B139,1)="C",LEFT(B139,1)="D"),I139=""),"고객 코드 필요",IF(AND(I139&lt;&gt;"",COUNTIF(고객코드!$A$5:$A$200,I139)=0),"고객 미등록",IF(AND(N139&lt;&gt;"",COUNTIF(고객코드!$A$5:$A$200,LEFT(N139,2))=0),"기본값 미등록",IF(AND(H139&lt;&gt;"",COUNTIF($B$5:$B$200,H139)=0),"이전 코드 없음","OK"))))))</f>
        <v/>
      </c>
    </row>
    <row r="140" spans="1:21" x14ac:dyDescent="0.3">
      <c r="A140" s="3" t="str">
        <f t="shared" si="12"/>
        <v/>
      </c>
      <c r="B140" s="11"/>
      <c r="C140" s="5" t="str">
        <f>IF(B140="","",IFERROR(INDEX(코드목록!$C$2:$C$20,MATCH(LEFT(B140,1),코드목록!$B$2:$B$20,0)),"?"))</f>
        <v/>
      </c>
      <c r="D140" s="11"/>
      <c r="E140" s="11"/>
      <c r="F140" s="5" t="str">
        <f>IF(E140="","",IFERROR(INDEX(칩코드!$C$5:$C$60,MATCH(E140,칩코드!$A$5:$A$60,0)),"?"))</f>
        <v/>
      </c>
      <c r="G140" s="12"/>
      <c r="H140" s="11"/>
      <c r="I140" s="11"/>
      <c r="J140" s="11"/>
      <c r="K140" s="11"/>
      <c r="L140" s="12"/>
      <c r="M140" s="12"/>
      <c r="N140" s="11"/>
      <c r="O140" s="12"/>
      <c r="P140" s="12"/>
      <c r="Q140" s="12"/>
      <c r="R140" s="5" t="str">
        <f t="shared" si="13"/>
        <v/>
      </c>
      <c r="S140" s="5" t="str">
        <f t="shared" si="14"/>
        <v/>
      </c>
      <c r="T140" s="3" t="str">
        <f>IF(B140="","",IF(LEN(B140)&lt;&gt;3,"3자리 아님",IF(SUMPRODUCT(--ISERROR(FIND(MID(B140,{1,2,3},1),"ABCDEFGHIJKLMNOPQRSTUVWXYZ0123456789")))&gt;0,"문자 오류",IF(COUNTIF(코드목록!$B$2:$B$20,LEFT(B140,1))=0,"구분 오류",IF(AND(LEFT(B140,1)="M",RIGHT(B140,1)&lt;&gt;"0"),"모듈 리비전은 0",IF(AND(LEFT(B140,1)&lt;&gt;"M",RIGHT(B140,1)="0"),"리비전은 1부터",IF(COUNTIF($B$5:$B$200,B140)&gt;1,"중복","OK")))))))</f>
        <v/>
      </c>
      <c r="U140" s="3" t="str">
        <f>IF(B140="","",IF(COUNTIF(칩코드!$A$5:$A$60,E140)=0,"칩 미등록",IF(AND(OR(LEFT(B140,1)="C",LEFT(B140,1)="D"),I140=""),"고객 코드 필요",IF(AND(I140&lt;&gt;"",COUNTIF(고객코드!$A$5:$A$200,I140)=0),"고객 미등록",IF(AND(N140&lt;&gt;"",COUNTIF(고객코드!$A$5:$A$200,LEFT(N140,2))=0),"기본값 미등록",IF(AND(H140&lt;&gt;"",COUNTIF($B$5:$B$200,H140)=0),"이전 코드 없음","OK"))))))</f>
        <v/>
      </c>
    </row>
    <row r="141" spans="1:21" x14ac:dyDescent="0.3">
      <c r="A141" s="3" t="str">
        <f t="shared" si="12"/>
        <v/>
      </c>
      <c r="B141" s="11"/>
      <c r="C141" s="5" t="str">
        <f>IF(B141="","",IFERROR(INDEX(코드목록!$C$2:$C$20,MATCH(LEFT(B141,1),코드목록!$B$2:$B$20,0)),"?"))</f>
        <v/>
      </c>
      <c r="D141" s="11"/>
      <c r="E141" s="11"/>
      <c r="F141" s="5" t="str">
        <f>IF(E141="","",IFERROR(INDEX(칩코드!$C$5:$C$60,MATCH(E141,칩코드!$A$5:$A$60,0)),"?"))</f>
        <v/>
      </c>
      <c r="G141" s="12"/>
      <c r="H141" s="11"/>
      <c r="I141" s="11"/>
      <c r="J141" s="11"/>
      <c r="K141" s="11"/>
      <c r="L141" s="12"/>
      <c r="M141" s="12"/>
      <c r="N141" s="11"/>
      <c r="O141" s="12"/>
      <c r="P141" s="12"/>
      <c r="Q141" s="12"/>
      <c r="R141" s="5" t="str">
        <f t="shared" si="13"/>
        <v/>
      </c>
      <c r="S141" s="5" t="str">
        <f t="shared" si="14"/>
        <v/>
      </c>
      <c r="T141" s="3" t="str">
        <f>IF(B141="","",IF(LEN(B141)&lt;&gt;3,"3자리 아님",IF(SUMPRODUCT(--ISERROR(FIND(MID(B141,{1,2,3},1),"ABCDEFGHIJKLMNOPQRSTUVWXYZ0123456789")))&gt;0,"문자 오류",IF(COUNTIF(코드목록!$B$2:$B$20,LEFT(B141,1))=0,"구분 오류",IF(AND(LEFT(B141,1)="M",RIGHT(B141,1)&lt;&gt;"0"),"모듈 리비전은 0",IF(AND(LEFT(B141,1)&lt;&gt;"M",RIGHT(B141,1)="0"),"리비전은 1부터",IF(COUNTIF($B$5:$B$200,B141)&gt;1,"중복","OK")))))))</f>
        <v/>
      </c>
      <c r="U141" s="3" t="str">
        <f>IF(B141="","",IF(COUNTIF(칩코드!$A$5:$A$60,E141)=0,"칩 미등록",IF(AND(OR(LEFT(B141,1)="C",LEFT(B141,1)="D"),I141=""),"고객 코드 필요",IF(AND(I141&lt;&gt;"",COUNTIF(고객코드!$A$5:$A$200,I141)=0),"고객 미등록",IF(AND(N141&lt;&gt;"",COUNTIF(고객코드!$A$5:$A$200,LEFT(N141,2))=0),"기본값 미등록",IF(AND(H141&lt;&gt;"",COUNTIF($B$5:$B$200,H141)=0),"이전 코드 없음","OK"))))))</f>
        <v/>
      </c>
    </row>
    <row r="142" spans="1:21" x14ac:dyDescent="0.3">
      <c r="A142" s="3" t="str">
        <f t="shared" si="12"/>
        <v/>
      </c>
      <c r="B142" s="11"/>
      <c r="C142" s="5" t="str">
        <f>IF(B142="","",IFERROR(INDEX(코드목록!$C$2:$C$20,MATCH(LEFT(B142,1),코드목록!$B$2:$B$20,0)),"?"))</f>
        <v/>
      </c>
      <c r="D142" s="11"/>
      <c r="E142" s="11"/>
      <c r="F142" s="5" t="str">
        <f>IF(E142="","",IFERROR(INDEX(칩코드!$C$5:$C$60,MATCH(E142,칩코드!$A$5:$A$60,0)),"?"))</f>
        <v/>
      </c>
      <c r="G142" s="12"/>
      <c r="H142" s="11"/>
      <c r="I142" s="11"/>
      <c r="J142" s="11"/>
      <c r="K142" s="11"/>
      <c r="L142" s="12"/>
      <c r="M142" s="12"/>
      <c r="N142" s="11"/>
      <c r="O142" s="12"/>
      <c r="P142" s="12"/>
      <c r="Q142" s="12"/>
      <c r="R142" s="5" t="str">
        <f t="shared" si="13"/>
        <v/>
      </c>
      <c r="S142" s="5" t="str">
        <f t="shared" si="14"/>
        <v/>
      </c>
      <c r="T142" s="3" t="str">
        <f>IF(B142="","",IF(LEN(B142)&lt;&gt;3,"3자리 아님",IF(SUMPRODUCT(--ISERROR(FIND(MID(B142,{1,2,3},1),"ABCDEFGHIJKLMNOPQRSTUVWXYZ0123456789")))&gt;0,"문자 오류",IF(COUNTIF(코드목록!$B$2:$B$20,LEFT(B142,1))=0,"구분 오류",IF(AND(LEFT(B142,1)="M",RIGHT(B142,1)&lt;&gt;"0"),"모듈 리비전은 0",IF(AND(LEFT(B142,1)&lt;&gt;"M",RIGHT(B142,1)="0"),"리비전은 1부터",IF(COUNTIF($B$5:$B$200,B142)&gt;1,"중복","OK")))))))</f>
        <v/>
      </c>
      <c r="U142" s="3" t="str">
        <f>IF(B142="","",IF(COUNTIF(칩코드!$A$5:$A$60,E142)=0,"칩 미등록",IF(AND(OR(LEFT(B142,1)="C",LEFT(B142,1)="D"),I142=""),"고객 코드 필요",IF(AND(I142&lt;&gt;"",COUNTIF(고객코드!$A$5:$A$200,I142)=0),"고객 미등록",IF(AND(N142&lt;&gt;"",COUNTIF(고객코드!$A$5:$A$200,LEFT(N142,2))=0),"기본값 미등록",IF(AND(H142&lt;&gt;"",COUNTIF($B$5:$B$200,H142)=0),"이전 코드 없음","OK"))))))</f>
        <v/>
      </c>
    </row>
    <row r="143" spans="1:21" x14ac:dyDescent="0.3">
      <c r="A143" s="3" t="str">
        <f t="shared" si="12"/>
        <v/>
      </c>
      <c r="B143" s="11"/>
      <c r="C143" s="5" t="str">
        <f>IF(B143="","",IFERROR(INDEX(코드목록!$C$2:$C$20,MATCH(LEFT(B143,1),코드목록!$B$2:$B$20,0)),"?"))</f>
        <v/>
      </c>
      <c r="D143" s="11"/>
      <c r="E143" s="11"/>
      <c r="F143" s="5" t="str">
        <f>IF(E143="","",IFERROR(INDEX(칩코드!$C$5:$C$60,MATCH(E143,칩코드!$A$5:$A$60,0)),"?"))</f>
        <v/>
      </c>
      <c r="G143" s="12"/>
      <c r="H143" s="11"/>
      <c r="I143" s="11"/>
      <c r="J143" s="11"/>
      <c r="K143" s="11"/>
      <c r="L143" s="12"/>
      <c r="M143" s="12"/>
      <c r="N143" s="11"/>
      <c r="O143" s="12"/>
      <c r="P143" s="12"/>
      <c r="Q143" s="12"/>
      <c r="R143" s="5" t="str">
        <f t="shared" si="13"/>
        <v/>
      </c>
      <c r="S143" s="5" t="str">
        <f t="shared" si="14"/>
        <v/>
      </c>
      <c r="T143" s="3" t="str">
        <f>IF(B143="","",IF(LEN(B143)&lt;&gt;3,"3자리 아님",IF(SUMPRODUCT(--ISERROR(FIND(MID(B143,{1,2,3},1),"ABCDEFGHIJKLMNOPQRSTUVWXYZ0123456789")))&gt;0,"문자 오류",IF(COUNTIF(코드목록!$B$2:$B$20,LEFT(B143,1))=0,"구분 오류",IF(AND(LEFT(B143,1)="M",RIGHT(B143,1)&lt;&gt;"0"),"모듈 리비전은 0",IF(AND(LEFT(B143,1)&lt;&gt;"M",RIGHT(B143,1)="0"),"리비전은 1부터",IF(COUNTIF($B$5:$B$200,B143)&gt;1,"중복","OK")))))))</f>
        <v/>
      </c>
      <c r="U143" s="3" t="str">
        <f>IF(B143="","",IF(COUNTIF(칩코드!$A$5:$A$60,E143)=0,"칩 미등록",IF(AND(OR(LEFT(B143,1)="C",LEFT(B143,1)="D"),I143=""),"고객 코드 필요",IF(AND(I143&lt;&gt;"",COUNTIF(고객코드!$A$5:$A$200,I143)=0),"고객 미등록",IF(AND(N143&lt;&gt;"",COUNTIF(고객코드!$A$5:$A$200,LEFT(N143,2))=0),"기본값 미등록",IF(AND(H143&lt;&gt;"",COUNTIF($B$5:$B$200,H143)=0),"이전 코드 없음","OK"))))))</f>
        <v/>
      </c>
    </row>
    <row r="144" spans="1:21" x14ac:dyDescent="0.3">
      <c r="A144" s="3" t="str">
        <f t="shared" si="12"/>
        <v/>
      </c>
      <c r="B144" s="11"/>
      <c r="C144" s="5" t="str">
        <f>IF(B144="","",IFERROR(INDEX(코드목록!$C$2:$C$20,MATCH(LEFT(B144,1),코드목록!$B$2:$B$20,0)),"?"))</f>
        <v/>
      </c>
      <c r="D144" s="11"/>
      <c r="E144" s="11"/>
      <c r="F144" s="5" t="str">
        <f>IF(E144="","",IFERROR(INDEX(칩코드!$C$5:$C$60,MATCH(E144,칩코드!$A$5:$A$60,0)),"?"))</f>
        <v/>
      </c>
      <c r="G144" s="12"/>
      <c r="H144" s="11"/>
      <c r="I144" s="11"/>
      <c r="J144" s="11"/>
      <c r="K144" s="11"/>
      <c r="L144" s="12"/>
      <c r="M144" s="12"/>
      <c r="N144" s="11"/>
      <c r="O144" s="12"/>
      <c r="P144" s="12"/>
      <c r="Q144" s="12"/>
      <c r="R144" s="5" t="str">
        <f t="shared" si="13"/>
        <v/>
      </c>
      <c r="S144" s="5" t="str">
        <f t="shared" si="14"/>
        <v/>
      </c>
      <c r="T144" s="3" t="str">
        <f>IF(B144="","",IF(LEN(B144)&lt;&gt;3,"3자리 아님",IF(SUMPRODUCT(--ISERROR(FIND(MID(B144,{1,2,3},1),"ABCDEFGHIJKLMNOPQRSTUVWXYZ0123456789")))&gt;0,"문자 오류",IF(COUNTIF(코드목록!$B$2:$B$20,LEFT(B144,1))=0,"구분 오류",IF(AND(LEFT(B144,1)="M",RIGHT(B144,1)&lt;&gt;"0"),"모듈 리비전은 0",IF(AND(LEFT(B144,1)&lt;&gt;"M",RIGHT(B144,1)="0"),"리비전은 1부터",IF(COUNTIF($B$5:$B$200,B144)&gt;1,"중복","OK")))))))</f>
        <v/>
      </c>
      <c r="U144" s="3" t="str">
        <f>IF(B144="","",IF(COUNTIF(칩코드!$A$5:$A$60,E144)=0,"칩 미등록",IF(AND(OR(LEFT(B144,1)="C",LEFT(B144,1)="D"),I144=""),"고객 코드 필요",IF(AND(I144&lt;&gt;"",COUNTIF(고객코드!$A$5:$A$200,I144)=0),"고객 미등록",IF(AND(N144&lt;&gt;"",COUNTIF(고객코드!$A$5:$A$200,LEFT(N144,2))=0),"기본값 미등록",IF(AND(H144&lt;&gt;"",COUNTIF($B$5:$B$200,H144)=0),"이전 코드 없음","OK"))))))</f>
        <v/>
      </c>
    </row>
    <row r="145" spans="1:21" x14ac:dyDescent="0.3">
      <c r="A145" s="3" t="str">
        <f t="shared" si="12"/>
        <v/>
      </c>
      <c r="B145" s="11"/>
      <c r="C145" s="5" t="str">
        <f>IF(B145="","",IFERROR(INDEX(코드목록!$C$2:$C$20,MATCH(LEFT(B145,1),코드목록!$B$2:$B$20,0)),"?"))</f>
        <v/>
      </c>
      <c r="D145" s="11"/>
      <c r="E145" s="11"/>
      <c r="F145" s="5" t="str">
        <f>IF(E145="","",IFERROR(INDEX(칩코드!$C$5:$C$60,MATCH(E145,칩코드!$A$5:$A$60,0)),"?"))</f>
        <v/>
      </c>
      <c r="G145" s="12"/>
      <c r="H145" s="11"/>
      <c r="I145" s="11"/>
      <c r="J145" s="11"/>
      <c r="K145" s="11"/>
      <c r="L145" s="12"/>
      <c r="M145" s="12"/>
      <c r="N145" s="11"/>
      <c r="O145" s="12"/>
      <c r="P145" s="12"/>
      <c r="Q145" s="12"/>
      <c r="R145" s="5" t="str">
        <f t="shared" si="13"/>
        <v/>
      </c>
      <c r="S145" s="5" t="str">
        <f t="shared" si="14"/>
        <v/>
      </c>
      <c r="T145" s="3" t="str">
        <f>IF(B145="","",IF(LEN(B145)&lt;&gt;3,"3자리 아님",IF(SUMPRODUCT(--ISERROR(FIND(MID(B145,{1,2,3},1),"ABCDEFGHIJKLMNOPQRSTUVWXYZ0123456789")))&gt;0,"문자 오류",IF(COUNTIF(코드목록!$B$2:$B$20,LEFT(B145,1))=0,"구분 오류",IF(AND(LEFT(B145,1)="M",RIGHT(B145,1)&lt;&gt;"0"),"모듈 리비전은 0",IF(AND(LEFT(B145,1)&lt;&gt;"M",RIGHT(B145,1)="0"),"리비전은 1부터",IF(COUNTIF($B$5:$B$200,B145)&gt;1,"중복","OK")))))))</f>
        <v/>
      </c>
      <c r="U145" s="3" t="str">
        <f>IF(B145="","",IF(COUNTIF(칩코드!$A$5:$A$60,E145)=0,"칩 미등록",IF(AND(OR(LEFT(B145,1)="C",LEFT(B145,1)="D"),I145=""),"고객 코드 필요",IF(AND(I145&lt;&gt;"",COUNTIF(고객코드!$A$5:$A$200,I145)=0),"고객 미등록",IF(AND(N145&lt;&gt;"",COUNTIF(고객코드!$A$5:$A$200,LEFT(N145,2))=0),"기본값 미등록",IF(AND(H145&lt;&gt;"",COUNTIF($B$5:$B$200,H145)=0),"이전 코드 없음","OK"))))))</f>
        <v/>
      </c>
    </row>
    <row r="146" spans="1:21" x14ac:dyDescent="0.3">
      <c r="A146" s="3" t="str">
        <f t="shared" si="12"/>
        <v/>
      </c>
      <c r="B146" s="11"/>
      <c r="C146" s="5" t="str">
        <f>IF(B146="","",IFERROR(INDEX(코드목록!$C$2:$C$20,MATCH(LEFT(B146,1),코드목록!$B$2:$B$20,0)),"?"))</f>
        <v/>
      </c>
      <c r="D146" s="11"/>
      <c r="E146" s="11"/>
      <c r="F146" s="5" t="str">
        <f>IF(E146="","",IFERROR(INDEX(칩코드!$C$5:$C$60,MATCH(E146,칩코드!$A$5:$A$60,0)),"?"))</f>
        <v/>
      </c>
      <c r="G146" s="12"/>
      <c r="H146" s="11"/>
      <c r="I146" s="11"/>
      <c r="J146" s="11"/>
      <c r="K146" s="11"/>
      <c r="L146" s="12"/>
      <c r="M146" s="12"/>
      <c r="N146" s="11"/>
      <c r="O146" s="12"/>
      <c r="P146" s="12"/>
      <c r="Q146" s="12"/>
      <c r="R146" s="5" t="str">
        <f t="shared" si="13"/>
        <v/>
      </c>
      <c r="S146" s="5" t="str">
        <f t="shared" si="14"/>
        <v/>
      </c>
      <c r="T146" s="3" t="str">
        <f>IF(B146="","",IF(LEN(B146)&lt;&gt;3,"3자리 아님",IF(SUMPRODUCT(--ISERROR(FIND(MID(B146,{1,2,3},1),"ABCDEFGHIJKLMNOPQRSTUVWXYZ0123456789")))&gt;0,"문자 오류",IF(COUNTIF(코드목록!$B$2:$B$20,LEFT(B146,1))=0,"구분 오류",IF(AND(LEFT(B146,1)="M",RIGHT(B146,1)&lt;&gt;"0"),"모듈 리비전은 0",IF(AND(LEFT(B146,1)&lt;&gt;"M",RIGHT(B146,1)="0"),"리비전은 1부터",IF(COUNTIF($B$5:$B$200,B146)&gt;1,"중복","OK")))))))</f>
        <v/>
      </c>
      <c r="U146" s="3" t="str">
        <f>IF(B146="","",IF(COUNTIF(칩코드!$A$5:$A$60,E146)=0,"칩 미등록",IF(AND(OR(LEFT(B146,1)="C",LEFT(B146,1)="D"),I146=""),"고객 코드 필요",IF(AND(I146&lt;&gt;"",COUNTIF(고객코드!$A$5:$A$200,I146)=0),"고객 미등록",IF(AND(N146&lt;&gt;"",COUNTIF(고객코드!$A$5:$A$200,LEFT(N146,2))=0),"기본값 미등록",IF(AND(H146&lt;&gt;"",COUNTIF($B$5:$B$200,H146)=0),"이전 코드 없음","OK"))))))</f>
        <v/>
      </c>
    </row>
    <row r="147" spans="1:21" x14ac:dyDescent="0.3">
      <c r="A147" s="3" t="str">
        <f t="shared" si="12"/>
        <v/>
      </c>
      <c r="B147" s="11"/>
      <c r="C147" s="5" t="str">
        <f>IF(B147="","",IFERROR(INDEX(코드목록!$C$2:$C$20,MATCH(LEFT(B147,1),코드목록!$B$2:$B$20,0)),"?"))</f>
        <v/>
      </c>
      <c r="D147" s="11"/>
      <c r="E147" s="11"/>
      <c r="F147" s="5" t="str">
        <f>IF(E147="","",IFERROR(INDEX(칩코드!$C$5:$C$60,MATCH(E147,칩코드!$A$5:$A$60,0)),"?"))</f>
        <v/>
      </c>
      <c r="G147" s="12"/>
      <c r="H147" s="11"/>
      <c r="I147" s="11"/>
      <c r="J147" s="11"/>
      <c r="K147" s="11"/>
      <c r="L147" s="12"/>
      <c r="M147" s="12"/>
      <c r="N147" s="11"/>
      <c r="O147" s="12"/>
      <c r="P147" s="12"/>
      <c r="Q147" s="12"/>
      <c r="R147" s="5" t="str">
        <f t="shared" si="13"/>
        <v/>
      </c>
      <c r="S147" s="5" t="str">
        <f t="shared" si="14"/>
        <v/>
      </c>
      <c r="T147" s="3" t="str">
        <f>IF(B147="","",IF(LEN(B147)&lt;&gt;3,"3자리 아님",IF(SUMPRODUCT(--ISERROR(FIND(MID(B147,{1,2,3},1),"ABCDEFGHIJKLMNOPQRSTUVWXYZ0123456789")))&gt;0,"문자 오류",IF(COUNTIF(코드목록!$B$2:$B$20,LEFT(B147,1))=0,"구분 오류",IF(AND(LEFT(B147,1)="M",RIGHT(B147,1)&lt;&gt;"0"),"모듈 리비전은 0",IF(AND(LEFT(B147,1)&lt;&gt;"M",RIGHT(B147,1)="0"),"리비전은 1부터",IF(COUNTIF($B$5:$B$200,B147)&gt;1,"중복","OK")))))))</f>
        <v/>
      </c>
      <c r="U147" s="3" t="str">
        <f>IF(B147="","",IF(COUNTIF(칩코드!$A$5:$A$60,E147)=0,"칩 미등록",IF(AND(OR(LEFT(B147,1)="C",LEFT(B147,1)="D"),I147=""),"고객 코드 필요",IF(AND(I147&lt;&gt;"",COUNTIF(고객코드!$A$5:$A$200,I147)=0),"고객 미등록",IF(AND(N147&lt;&gt;"",COUNTIF(고객코드!$A$5:$A$200,LEFT(N147,2))=0),"기본값 미등록",IF(AND(H147&lt;&gt;"",COUNTIF($B$5:$B$200,H147)=0),"이전 코드 없음","OK"))))))</f>
        <v/>
      </c>
    </row>
    <row r="148" spans="1:21" x14ac:dyDescent="0.3">
      <c r="A148" s="3" t="str">
        <f t="shared" si="12"/>
        <v/>
      </c>
      <c r="B148" s="11"/>
      <c r="C148" s="5" t="str">
        <f>IF(B148="","",IFERROR(INDEX(코드목록!$C$2:$C$20,MATCH(LEFT(B148,1),코드목록!$B$2:$B$20,0)),"?"))</f>
        <v/>
      </c>
      <c r="D148" s="11"/>
      <c r="E148" s="11"/>
      <c r="F148" s="5" t="str">
        <f>IF(E148="","",IFERROR(INDEX(칩코드!$C$5:$C$60,MATCH(E148,칩코드!$A$5:$A$60,0)),"?"))</f>
        <v/>
      </c>
      <c r="G148" s="12"/>
      <c r="H148" s="11"/>
      <c r="I148" s="11"/>
      <c r="J148" s="11"/>
      <c r="K148" s="11"/>
      <c r="L148" s="12"/>
      <c r="M148" s="12"/>
      <c r="N148" s="11"/>
      <c r="O148" s="12"/>
      <c r="P148" s="12"/>
      <c r="Q148" s="12"/>
      <c r="R148" s="5" t="str">
        <f t="shared" si="13"/>
        <v/>
      </c>
      <c r="S148" s="5" t="str">
        <f t="shared" si="14"/>
        <v/>
      </c>
      <c r="T148" s="3" t="str">
        <f>IF(B148="","",IF(LEN(B148)&lt;&gt;3,"3자리 아님",IF(SUMPRODUCT(--ISERROR(FIND(MID(B148,{1,2,3},1),"ABCDEFGHIJKLMNOPQRSTUVWXYZ0123456789")))&gt;0,"문자 오류",IF(COUNTIF(코드목록!$B$2:$B$20,LEFT(B148,1))=0,"구분 오류",IF(AND(LEFT(B148,1)="M",RIGHT(B148,1)&lt;&gt;"0"),"모듈 리비전은 0",IF(AND(LEFT(B148,1)&lt;&gt;"M",RIGHT(B148,1)="0"),"리비전은 1부터",IF(COUNTIF($B$5:$B$200,B148)&gt;1,"중복","OK")))))))</f>
        <v/>
      </c>
      <c r="U148" s="3" t="str">
        <f>IF(B148="","",IF(COUNTIF(칩코드!$A$5:$A$60,E148)=0,"칩 미등록",IF(AND(OR(LEFT(B148,1)="C",LEFT(B148,1)="D"),I148=""),"고객 코드 필요",IF(AND(I148&lt;&gt;"",COUNTIF(고객코드!$A$5:$A$200,I148)=0),"고객 미등록",IF(AND(N148&lt;&gt;"",COUNTIF(고객코드!$A$5:$A$200,LEFT(N148,2))=0),"기본값 미등록",IF(AND(H148&lt;&gt;"",COUNTIF($B$5:$B$200,H148)=0),"이전 코드 없음","OK"))))))</f>
        <v/>
      </c>
    </row>
    <row r="149" spans="1:21" x14ac:dyDescent="0.3">
      <c r="A149" s="3" t="str">
        <f t="shared" si="12"/>
        <v/>
      </c>
      <c r="B149" s="11"/>
      <c r="C149" s="5" t="str">
        <f>IF(B149="","",IFERROR(INDEX(코드목록!$C$2:$C$20,MATCH(LEFT(B149,1),코드목록!$B$2:$B$20,0)),"?"))</f>
        <v/>
      </c>
      <c r="D149" s="11"/>
      <c r="E149" s="11"/>
      <c r="F149" s="5" t="str">
        <f>IF(E149="","",IFERROR(INDEX(칩코드!$C$5:$C$60,MATCH(E149,칩코드!$A$5:$A$60,0)),"?"))</f>
        <v/>
      </c>
      <c r="G149" s="12"/>
      <c r="H149" s="11"/>
      <c r="I149" s="11"/>
      <c r="J149" s="11"/>
      <c r="K149" s="11"/>
      <c r="L149" s="12"/>
      <c r="M149" s="12"/>
      <c r="N149" s="11"/>
      <c r="O149" s="12"/>
      <c r="P149" s="12"/>
      <c r="Q149" s="12"/>
      <c r="R149" s="5" t="str">
        <f t="shared" si="13"/>
        <v/>
      </c>
      <c r="S149" s="5" t="str">
        <f t="shared" si="14"/>
        <v/>
      </c>
      <c r="T149" s="3" t="str">
        <f>IF(B149="","",IF(LEN(B149)&lt;&gt;3,"3자리 아님",IF(SUMPRODUCT(--ISERROR(FIND(MID(B149,{1,2,3},1),"ABCDEFGHIJKLMNOPQRSTUVWXYZ0123456789")))&gt;0,"문자 오류",IF(COUNTIF(코드목록!$B$2:$B$20,LEFT(B149,1))=0,"구분 오류",IF(AND(LEFT(B149,1)="M",RIGHT(B149,1)&lt;&gt;"0"),"모듈 리비전은 0",IF(AND(LEFT(B149,1)&lt;&gt;"M",RIGHT(B149,1)="0"),"리비전은 1부터",IF(COUNTIF($B$5:$B$200,B149)&gt;1,"중복","OK")))))))</f>
        <v/>
      </c>
      <c r="U149" s="3" t="str">
        <f>IF(B149="","",IF(COUNTIF(칩코드!$A$5:$A$60,E149)=0,"칩 미등록",IF(AND(OR(LEFT(B149,1)="C",LEFT(B149,1)="D"),I149=""),"고객 코드 필요",IF(AND(I149&lt;&gt;"",COUNTIF(고객코드!$A$5:$A$200,I149)=0),"고객 미등록",IF(AND(N149&lt;&gt;"",COUNTIF(고객코드!$A$5:$A$200,LEFT(N149,2))=0),"기본값 미등록",IF(AND(H149&lt;&gt;"",COUNTIF($B$5:$B$200,H149)=0),"이전 코드 없음","OK"))))))</f>
        <v/>
      </c>
    </row>
    <row r="150" spans="1:21" x14ac:dyDescent="0.3">
      <c r="A150" s="3" t="str">
        <f t="shared" si="12"/>
        <v/>
      </c>
      <c r="B150" s="11"/>
      <c r="C150" s="5" t="str">
        <f>IF(B150="","",IFERROR(INDEX(코드목록!$C$2:$C$20,MATCH(LEFT(B150,1),코드목록!$B$2:$B$20,0)),"?"))</f>
        <v/>
      </c>
      <c r="D150" s="11"/>
      <c r="E150" s="11"/>
      <c r="F150" s="5" t="str">
        <f>IF(E150="","",IFERROR(INDEX(칩코드!$C$5:$C$60,MATCH(E150,칩코드!$A$5:$A$60,0)),"?"))</f>
        <v/>
      </c>
      <c r="G150" s="12"/>
      <c r="H150" s="11"/>
      <c r="I150" s="11"/>
      <c r="J150" s="11"/>
      <c r="K150" s="11"/>
      <c r="L150" s="12"/>
      <c r="M150" s="12"/>
      <c r="N150" s="11"/>
      <c r="O150" s="12"/>
      <c r="P150" s="12"/>
      <c r="Q150" s="12"/>
      <c r="R150" s="5" t="str">
        <f t="shared" si="13"/>
        <v/>
      </c>
      <c r="S150" s="5" t="str">
        <f t="shared" si="14"/>
        <v/>
      </c>
      <c r="T150" s="3" t="str">
        <f>IF(B150="","",IF(LEN(B150)&lt;&gt;3,"3자리 아님",IF(SUMPRODUCT(--ISERROR(FIND(MID(B150,{1,2,3},1),"ABCDEFGHIJKLMNOPQRSTUVWXYZ0123456789")))&gt;0,"문자 오류",IF(COUNTIF(코드목록!$B$2:$B$20,LEFT(B150,1))=0,"구분 오류",IF(AND(LEFT(B150,1)="M",RIGHT(B150,1)&lt;&gt;"0"),"모듈 리비전은 0",IF(AND(LEFT(B150,1)&lt;&gt;"M",RIGHT(B150,1)="0"),"리비전은 1부터",IF(COUNTIF($B$5:$B$200,B150)&gt;1,"중복","OK")))))))</f>
        <v/>
      </c>
      <c r="U150" s="3" t="str">
        <f>IF(B150="","",IF(COUNTIF(칩코드!$A$5:$A$60,E150)=0,"칩 미등록",IF(AND(OR(LEFT(B150,1)="C",LEFT(B150,1)="D"),I150=""),"고객 코드 필요",IF(AND(I150&lt;&gt;"",COUNTIF(고객코드!$A$5:$A$200,I150)=0),"고객 미등록",IF(AND(N150&lt;&gt;"",COUNTIF(고객코드!$A$5:$A$200,LEFT(N150,2))=0),"기본값 미등록",IF(AND(H150&lt;&gt;"",COUNTIF($B$5:$B$200,H150)=0),"이전 코드 없음","OK"))))))</f>
        <v/>
      </c>
    </row>
    <row r="151" spans="1:21" x14ac:dyDescent="0.3">
      <c r="A151" s="3" t="str">
        <f t="shared" si="12"/>
        <v/>
      </c>
      <c r="B151" s="11"/>
      <c r="C151" s="5" t="str">
        <f>IF(B151="","",IFERROR(INDEX(코드목록!$C$2:$C$20,MATCH(LEFT(B151,1),코드목록!$B$2:$B$20,0)),"?"))</f>
        <v/>
      </c>
      <c r="D151" s="11"/>
      <c r="E151" s="11"/>
      <c r="F151" s="5" t="str">
        <f>IF(E151="","",IFERROR(INDEX(칩코드!$C$5:$C$60,MATCH(E151,칩코드!$A$5:$A$60,0)),"?"))</f>
        <v/>
      </c>
      <c r="G151" s="12"/>
      <c r="H151" s="11"/>
      <c r="I151" s="11"/>
      <c r="J151" s="11"/>
      <c r="K151" s="11"/>
      <c r="L151" s="12"/>
      <c r="M151" s="12"/>
      <c r="N151" s="11"/>
      <c r="O151" s="12"/>
      <c r="P151" s="12"/>
      <c r="Q151" s="12"/>
      <c r="R151" s="5" t="str">
        <f t="shared" si="13"/>
        <v/>
      </c>
      <c r="S151" s="5" t="str">
        <f t="shared" si="14"/>
        <v/>
      </c>
      <c r="T151" s="3" t="str">
        <f>IF(B151="","",IF(LEN(B151)&lt;&gt;3,"3자리 아님",IF(SUMPRODUCT(--ISERROR(FIND(MID(B151,{1,2,3},1),"ABCDEFGHIJKLMNOPQRSTUVWXYZ0123456789")))&gt;0,"문자 오류",IF(COUNTIF(코드목록!$B$2:$B$20,LEFT(B151,1))=0,"구분 오류",IF(AND(LEFT(B151,1)="M",RIGHT(B151,1)&lt;&gt;"0"),"모듈 리비전은 0",IF(AND(LEFT(B151,1)&lt;&gt;"M",RIGHT(B151,1)="0"),"리비전은 1부터",IF(COUNTIF($B$5:$B$200,B151)&gt;1,"중복","OK")))))))</f>
        <v/>
      </c>
      <c r="U151" s="3" t="str">
        <f>IF(B151="","",IF(COUNTIF(칩코드!$A$5:$A$60,E151)=0,"칩 미등록",IF(AND(OR(LEFT(B151,1)="C",LEFT(B151,1)="D"),I151=""),"고객 코드 필요",IF(AND(I151&lt;&gt;"",COUNTIF(고객코드!$A$5:$A$200,I151)=0),"고객 미등록",IF(AND(N151&lt;&gt;"",COUNTIF(고객코드!$A$5:$A$200,LEFT(N151,2))=0),"기본값 미등록",IF(AND(H151&lt;&gt;"",COUNTIF($B$5:$B$200,H151)=0),"이전 코드 없음","OK"))))))</f>
        <v/>
      </c>
    </row>
    <row r="152" spans="1:21" x14ac:dyDescent="0.3">
      <c r="A152" s="3" t="str">
        <f t="shared" si="12"/>
        <v/>
      </c>
      <c r="B152" s="11"/>
      <c r="C152" s="5" t="str">
        <f>IF(B152="","",IFERROR(INDEX(코드목록!$C$2:$C$20,MATCH(LEFT(B152,1),코드목록!$B$2:$B$20,0)),"?"))</f>
        <v/>
      </c>
      <c r="D152" s="11"/>
      <c r="E152" s="11"/>
      <c r="F152" s="5" t="str">
        <f>IF(E152="","",IFERROR(INDEX(칩코드!$C$5:$C$60,MATCH(E152,칩코드!$A$5:$A$60,0)),"?"))</f>
        <v/>
      </c>
      <c r="G152" s="12"/>
      <c r="H152" s="11"/>
      <c r="I152" s="11"/>
      <c r="J152" s="11"/>
      <c r="K152" s="11"/>
      <c r="L152" s="12"/>
      <c r="M152" s="12"/>
      <c r="N152" s="11"/>
      <c r="O152" s="12"/>
      <c r="P152" s="12"/>
      <c r="Q152" s="12"/>
      <c r="R152" s="5" t="str">
        <f t="shared" si="13"/>
        <v/>
      </c>
      <c r="S152" s="5" t="str">
        <f t="shared" si="14"/>
        <v/>
      </c>
      <c r="T152" s="3" t="str">
        <f>IF(B152="","",IF(LEN(B152)&lt;&gt;3,"3자리 아님",IF(SUMPRODUCT(--ISERROR(FIND(MID(B152,{1,2,3},1),"ABCDEFGHIJKLMNOPQRSTUVWXYZ0123456789")))&gt;0,"문자 오류",IF(COUNTIF(코드목록!$B$2:$B$20,LEFT(B152,1))=0,"구분 오류",IF(AND(LEFT(B152,1)="M",RIGHT(B152,1)&lt;&gt;"0"),"모듈 리비전은 0",IF(AND(LEFT(B152,1)&lt;&gt;"M",RIGHT(B152,1)="0"),"리비전은 1부터",IF(COUNTIF($B$5:$B$200,B152)&gt;1,"중복","OK")))))))</f>
        <v/>
      </c>
      <c r="U152" s="3" t="str">
        <f>IF(B152="","",IF(COUNTIF(칩코드!$A$5:$A$60,E152)=0,"칩 미등록",IF(AND(OR(LEFT(B152,1)="C",LEFT(B152,1)="D"),I152=""),"고객 코드 필요",IF(AND(I152&lt;&gt;"",COUNTIF(고객코드!$A$5:$A$200,I152)=0),"고객 미등록",IF(AND(N152&lt;&gt;"",COUNTIF(고객코드!$A$5:$A$200,LEFT(N152,2))=0),"기본값 미등록",IF(AND(H152&lt;&gt;"",COUNTIF($B$5:$B$200,H152)=0),"이전 코드 없음","OK"))))))</f>
        <v/>
      </c>
    </row>
    <row r="153" spans="1:21" x14ac:dyDescent="0.3">
      <c r="A153" s="3" t="str">
        <f t="shared" si="12"/>
        <v/>
      </c>
      <c r="B153" s="11"/>
      <c r="C153" s="5" t="str">
        <f>IF(B153="","",IFERROR(INDEX(코드목록!$C$2:$C$20,MATCH(LEFT(B153,1),코드목록!$B$2:$B$20,0)),"?"))</f>
        <v/>
      </c>
      <c r="D153" s="11"/>
      <c r="E153" s="11"/>
      <c r="F153" s="5" t="str">
        <f>IF(E153="","",IFERROR(INDEX(칩코드!$C$5:$C$60,MATCH(E153,칩코드!$A$5:$A$60,0)),"?"))</f>
        <v/>
      </c>
      <c r="G153" s="12"/>
      <c r="H153" s="11"/>
      <c r="I153" s="11"/>
      <c r="J153" s="11"/>
      <c r="K153" s="11"/>
      <c r="L153" s="12"/>
      <c r="M153" s="12"/>
      <c r="N153" s="11"/>
      <c r="O153" s="12"/>
      <c r="P153" s="12"/>
      <c r="Q153" s="12"/>
      <c r="R153" s="5" t="str">
        <f t="shared" si="13"/>
        <v/>
      </c>
      <c r="S153" s="5" t="str">
        <f t="shared" si="14"/>
        <v/>
      </c>
      <c r="T153" s="3" t="str">
        <f>IF(B153="","",IF(LEN(B153)&lt;&gt;3,"3자리 아님",IF(SUMPRODUCT(--ISERROR(FIND(MID(B153,{1,2,3},1),"ABCDEFGHIJKLMNOPQRSTUVWXYZ0123456789")))&gt;0,"문자 오류",IF(COUNTIF(코드목록!$B$2:$B$20,LEFT(B153,1))=0,"구분 오류",IF(AND(LEFT(B153,1)="M",RIGHT(B153,1)&lt;&gt;"0"),"모듈 리비전은 0",IF(AND(LEFT(B153,1)&lt;&gt;"M",RIGHT(B153,1)="0"),"리비전은 1부터",IF(COUNTIF($B$5:$B$200,B153)&gt;1,"중복","OK")))))))</f>
        <v/>
      </c>
      <c r="U153" s="3" t="str">
        <f>IF(B153="","",IF(COUNTIF(칩코드!$A$5:$A$60,E153)=0,"칩 미등록",IF(AND(OR(LEFT(B153,1)="C",LEFT(B153,1)="D"),I153=""),"고객 코드 필요",IF(AND(I153&lt;&gt;"",COUNTIF(고객코드!$A$5:$A$200,I153)=0),"고객 미등록",IF(AND(N153&lt;&gt;"",COUNTIF(고객코드!$A$5:$A$200,LEFT(N153,2))=0),"기본값 미등록",IF(AND(H153&lt;&gt;"",COUNTIF($B$5:$B$200,H153)=0),"이전 코드 없음","OK"))))))</f>
        <v/>
      </c>
    </row>
    <row r="154" spans="1:21" x14ac:dyDescent="0.3">
      <c r="A154" s="3" t="str">
        <f t="shared" si="12"/>
        <v/>
      </c>
      <c r="B154" s="11"/>
      <c r="C154" s="5" t="str">
        <f>IF(B154="","",IFERROR(INDEX(코드목록!$C$2:$C$20,MATCH(LEFT(B154,1),코드목록!$B$2:$B$20,0)),"?"))</f>
        <v/>
      </c>
      <c r="D154" s="11"/>
      <c r="E154" s="11"/>
      <c r="F154" s="5" t="str">
        <f>IF(E154="","",IFERROR(INDEX(칩코드!$C$5:$C$60,MATCH(E154,칩코드!$A$5:$A$60,0)),"?"))</f>
        <v/>
      </c>
      <c r="G154" s="12"/>
      <c r="H154" s="11"/>
      <c r="I154" s="11"/>
      <c r="J154" s="11"/>
      <c r="K154" s="11"/>
      <c r="L154" s="12"/>
      <c r="M154" s="12"/>
      <c r="N154" s="11"/>
      <c r="O154" s="12"/>
      <c r="P154" s="12"/>
      <c r="Q154" s="12"/>
      <c r="R154" s="5" t="str">
        <f t="shared" si="13"/>
        <v/>
      </c>
      <c r="S154" s="5" t="str">
        <f t="shared" si="14"/>
        <v/>
      </c>
      <c r="T154" s="3" t="str">
        <f>IF(B154="","",IF(LEN(B154)&lt;&gt;3,"3자리 아님",IF(SUMPRODUCT(--ISERROR(FIND(MID(B154,{1,2,3},1),"ABCDEFGHIJKLMNOPQRSTUVWXYZ0123456789")))&gt;0,"문자 오류",IF(COUNTIF(코드목록!$B$2:$B$20,LEFT(B154,1))=0,"구분 오류",IF(AND(LEFT(B154,1)="M",RIGHT(B154,1)&lt;&gt;"0"),"모듈 리비전은 0",IF(AND(LEFT(B154,1)&lt;&gt;"M",RIGHT(B154,1)="0"),"리비전은 1부터",IF(COUNTIF($B$5:$B$200,B154)&gt;1,"중복","OK")))))))</f>
        <v/>
      </c>
      <c r="U154" s="3" t="str">
        <f>IF(B154="","",IF(COUNTIF(칩코드!$A$5:$A$60,E154)=0,"칩 미등록",IF(AND(OR(LEFT(B154,1)="C",LEFT(B154,1)="D"),I154=""),"고객 코드 필요",IF(AND(I154&lt;&gt;"",COUNTIF(고객코드!$A$5:$A$200,I154)=0),"고객 미등록",IF(AND(N154&lt;&gt;"",COUNTIF(고객코드!$A$5:$A$200,LEFT(N154,2))=0),"기본값 미등록",IF(AND(H154&lt;&gt;"",COUNTIF($B$5:$B$200,H154)=0),"이전 코드 없음","OK"))))))</f>
        <v/>
      </c>
    </row>
    <row r="155" spans="1:21" x14ac:dyDescent="0.3">
      <c r="A155" s="3" t="str">
        <f t="shared" si="12"/>
        <v/>
      </c>
      <c r="B155" s="11"/>
      <c r="C155" s="5" t="str">
        <f>IF(B155="","",IFERROR(INDEX(코드목록!$C$2:$C$20,MATCH(LEFT(B155,1),코드목록!$B$2:$B$20,0)),"?"))</f>
        <v/>
      </c>
      <c r="D155" s="11"/>
      <c r="E155" s="11"/>
      <c r="F155" s="5" t="str">
        <f>IF(E155="","",IFERROR(INDEX(칩코드!$C$5:$C$60,MATCH(E155,칩코드!$A$5:$A$60,0)),"?"))</f>
        <v/>
      </c>
      <c r="G155" s="12"/>
      <c r="H155" s="11"/>
      <c r="I155" s="11"/>
      <c r="J155" s="11"/>
      <c r="K155" s="11"/>
      <c r="L155" s="12"/>
      <c r="M155" s="12"/>
      <c r="N155" s="11"/>
      <c r="O155" s="12"/>
      <c r="P155" s="12"/>
      <c r="Q155" s="12"/>
      <c r="R155" s="5" t="str">
        <f t="shared" si="13"/>
        <v/>
      </c>
      <c r="S155" s="5" t="str">
        <f t="shared" si="14"/>
        <v/>
      </c>
      <c r="T155" s="3" t="str">
        <f>IF(B155="","",IF(LEN(B155)&lt;&gt;3,"3자리 아님",IF(SUMPRODUCT(--ISERROR(FIND(MID(B155,{1,2,3},1),"ABCDEFGHIJKLMNOPQRSTUVWXYZ0123456789")))&gt;0,"문자 오류",IF(COUNTIF(코드목록!$B$2:$B$20,LEFT(B155,1))=0,"구분 오류",IF(AND(LEFT(B155,1)="M",RIGHT(B155,1)&lt;&gt;"0"),"모듈 리비전은 0",IF(AND(LEFT(B155,1)&lt;&gt;"M",RIGHT(B155,1)="0"),"리비전은 1부터",IF(COUNTIF($B$5:$B$200,B155)&gt;1,"중복","OK")))))))</f>
        <v/>
      </c>
      <c r="U155" s="3" t="str">
        <f>IF(B155="","",IF(COUNTIF(칩코드!$A$5:$A$60,E155)=0,"칩 미등록",IF(AND(OR(LEFT(B155,1)="C",LEFT(B155,1)="D"),I155=""),"고객 코드 필요",IF(AND(I155&lt;&gt;"",COUNTIF(고객코드!$A$5:$A$200,I155)=0),"고객 미등록",IF(AND(N155&lt;&gt;"",COUNTIF(고객코드!$A$5:$A$200,LEFT(N155,2))=0),"기본값 미등록",IF(AND(H155&lt;&gt;"",COUNTIF($B$5:$B$200,H155)=0),"이전 코드 없음","OK"))))))</f>
        <v/>
      </c>
    </row>
    <row r="156" spans="1:21" x14ac:dyDescent="0.3">
      <c r="A156" s="3" t="str">
        <f t="shared" si="12"/>
        <v/>
      </c>
      <c r="B156" s="11"/>
      <c r="C156" s="5" t="str">
        <f>IF(B156="","",IFERROR(INDEX(코드목록!$C$2:$C$20,MATCH(LEFT(B156,1),코드목록!$B$2:$B$20,0)),"?"))</f>
        <v/>
      </c>
      <c r="D156" s="11"/>
      <c r="E156" s="11"/>
      <c r="F156" s="5" t="str">
        <f>IF(E156="","",IFERROR(INDEX(칩코드!$C$5:$C$60,MATCH(E156,칩코드!$A$5:$A$60,0)),"?"))</f>
        <v/>
      </c>
      <c r="G156" s="12"/>
      <c r="H156" s="11"/>
      <c r="I156" s="11"/>
      <c r="J156" s="11"/>
      <c r="K156" s="11"/>
      <c r="L156" s="12"/>
      <c r="M156" s="12"/>
      <c r="N156" s="11"/>
      <c r="O156" s="12"/>
      <c r="P156" s="12"/>
      <c r="Q156" s="12"/>
      <c r="R156" s="5" t="str">
        <f t="shared" si="13"/>
        <v/>
      </c>
      <c r="S156" s="5" t="str">
        <f t="shared" si="14"/>
        <v/>
      </c>
      <c r="T156" s="3" t="str">
        <f>IF(B156="","",IF(LEN(B156)&lt;&gt;3,"3자리 아님",IF(SUMPRODUCT(--ISERROR(FIND(MID(B156,{1,2,3},1),"ABCDEFGHIJKLMNOPQRSTUVWXYZ0123456789")))&gt;0,"문자 오류",IF(COUNTIF(코드목록!$B$2:$B$20,LEFT(B156,1))=0,"구분 오류",IF(AND(LEFT(B156,1)="M",RIGHT(B156,1)&lt;&gt;"0"),"모듈 리비전은 0",IF(AND(LEFT(B156,1)&lt;&gt;"M",RIGHT(B156,1)="0"),"리비전은 1부터",IF(COUNTIF($B$5:$B$200,B156)&gt;1,"중복","OK")))))))</f>
        <v/>
      </c>
      <c r="U156" s="3" t="str">
        <f>IF(B156="","",IF(COUNTIF(칩코드!$A$5:$A$60,E156)=0,"칩 미등록",IF(AND(OR(LEFT(B156,1)="C",LEFT(B156,1)="D"),I156=""),"고객 코드 필요",IF(AND(I156&lt;&gt;"",COUNTIF(고객코드!$A$5:$A$200,I156)=0),"고객 미등록",IF(AND(N156&lt;&gt;"",COUNTIF(고객코드!$A$5:$A$200,LEFT(N156,2))=0),"기본값 미등록",IF(AND(H156&lt;&gt;"",COUNTIF($B$5:$B$200,H156)=0),"이전 코드 없음","OK"))))))</f>
        <v/>
      </c>
    </row>
    <row r="157" spans="1:21" x14ac:dyDescent="0.3">
      <c r="A157" s="3" t="str">
        <f t="shared" si="12"/>
        <v/>
      </c>
      <c r="B157" s="11"/>
      <c r="C157" s="5" t="str">
        <f>IF(B157="","",IFERROR(INDEX(코드목록!$C$2:$C$20,MATCH(LEFT(B157,1),코드목록!$B$2:$B$20,0)),"?"))</f>
        <v/>
      </c>
      <c r="D157" s="11"/>
      <c r="E157" s="11"/>
      <c r="F157" s="5" t="str">
        <f>IF(E157="","",IFERROR(INDEX(칩코드!$C$5:$C$60,MATCH(E157,칩코드!$A$5:$A$60,0)),"?"))</f>
        <v/>
      </c>
      <c r="G157" s="12"/>
      <c r="H157" s="11"/>
      <c r="I157" s="11"/>
      <c r="J157" s="11"/>
      <c r="K157" s="11"/>
      <c r="L157" s="12"/>
      <c r="M157" s="12"/>
      <c r="N157" s="11"/>
      <c r="O157" s="12"/>
      <c r="P157" s="12"/>
      <c r="Q157" s="12"/>
      <c r="R157" s="5" t="str">
        <f t="shared" si="13"/>
        <v/>
      </c>
      <c r="S157" s="5" t="str">
        <f t="shared" si="14"/>
        <v/>
      </c>
      <c r="T157" s="3" t="str">
        <f>IF(B157="","",IF(LEN(B157)&lt;&gt;3,"3자리 아님",IF(SUMPRODUCT(--ISERROR(FIND(MID(B157,{1,2,3},1),"ABCDEFGHIJKLMNOPQRSTUVWXYZ0123456789")))&gt;0,"문자 오류",IF(COUNTIF(코드목록!$B$2:$B$20,LEFT(B157,1))=0,"구분 오류",IF(AND(LEFT(B157,1)="M",RIGHT(B157,1)&lt;&gt;"0"),"모듈 리비전은 0",IF(AND(LEFT(B157,1)&lt;&gt;"M",RIGHT(B157,1)="0"),"리비전은 1부터",IF(COUNTIF($B$5:$B$200,B157)&gt;1,"중복","OK")))))))</f>
        <v/>
      </c>
      <c r="U157" s="3" t="str">
        <f>IF(B157="","",IF(COUNTIF(칩코드!$A$5:$A$60,E157)=0,"칩 미등록",IF(AND(OR(LEFT(B157,1)="C",LEFT(B157,1)="D"),I157=""),"고객 코드 필요",IF(AND(I157&lt;&gt;"",COUNTIF(고객코드!$A$5:$A$200,I157)=0),"고객 미등록",IF(AND(N157&lt;&gt;"",COUNTIF(고객코드!$A$5:$A$200,LEFT(N157,2))=0),"기본값 미등록",IF(AND(H157&lt;&gt;"",COUNTIF($B$5:$B$200,H157)=0),"이전 코드 없음","OK"))))))</f>
        <v/>
      </c>
    </row>
    <row r="158" spans="1:21" x14ac:dyDescent="0.3">
      <c r="A158" s="3" t="str">
        <f t="shared" si="12"/>
        <v/>
      </c>
      <c r="B158" s="11"/>
      <c r="C158" s="5" t="str">
        <f>IF(B158="","",IFERROR(INDEX(코드목록!$C$2:$C$20,MATCH(LEFT(B158,1),코드목록!$B$2:$B$20,0)),"?"))</f>
        <v/>
      </c>
      <c r="D158" s="11"/>
      <c r="E158" s="11"/>
      <c r="F158" s="5" t="str">
        <f>IF(E158="","",IFERROR(INDEX(칩코드!$C$5:$C$60,MATCH(E158,칩코드!$A$5:$A$60,0)),"?"))</f>
        <v/>
      </c>
      <c r="G158" s="12"/>
      <c r="H158" s="11"/>
      <c r="I158" s="11"/>
      <c r="J158" s="11"/>
      <c r="K158" s="11"/>
      <c r="L158" s="12"/>
      <c r="M158" s="12"/>
      <c r="N158" s="11"/>
      <c r="O158" s="12"/>
      <c r="P158" s="12"/>
      <c r="Q158" s="12"/>
      <c r="R158" s="5" t="str">
        <f t="shared" si="13"/>
        <v/>
      </c>
      <c r="S158" s="5" t="str">
        <f t="shared" si="14"/>
        <v/>
      </c>
      <c r="T158" s="3" t="str">
        <f>IF(B158="","",IF(LEN(B158)&lt;&gt;3,"3자리 아님",IF(SUMPRODUCT(--ISERROR(FIND(MID(B158,{1,2,3},1),"ABCDEFGHIJKLMNOPQRSTUVWXYZ0123456789")))&gt;0,"문자 오류",IF(COUNTIF(코드목록!$B$2:$B$20,LEFT(B158,1))=0,"구분 오류",IF(AND(LEFT(B158,1)="M",RIGHT(B158,1)&lt;&gt;"0"),"모듈 리비전은 0",IF(AND(LEFT(B158,1)&lt;&gt;"M",RIGHT(B158,1)="0"),"리비전은 1부터",IF(COUNTIF($B$5:$B$200,B158)&gt;1,"중복","OK")))))))</f>
        <v/>
      </c>
      <c r="U158" s="3" t="str">
        <f>IF(B158="","",IF(COUNTIF(칩코드!$A$5:$A$60,E158)=0,"칩 미등록",IF(AND(OR(LEFT(B158,1)="C",LEFT(B158,1)="D"),I158=""),"고객 코드 필요",IF(AND(I158&lt;&gt;"",COUNTIF(고객코드!$A$5:$A$200,I158)=0),"고객 미등록",IF(AND(N158&lt;&gt;"",COUNTIF(고객코드!$A$5:$A$200,LEFT(N158,2))=0),"기본값 미등록",IF(AND(H158&lt;&gt;"",COUNTIF($B$5:$B$200,H158)=0),"이전 코드 없음","OK"))))))</f>
        <v/>
      </c>
    </row>
    <row r="159" spans="1:21" x14ac:dyDescent="0.3">
      <c r="A159" s="3" t="str">
        <f t="shared" si="12"/>
        <v/>
      </c>
      <c r="B159" s="11"/>
      <c r="C159" s="5" t="str">
        <f>IF(B159="","",IFERROR(INDEX(코드목록!$C$2:$C$20,MATCH(LEFT(B159,1),코드목록!$B$2:$B$20,0)),"?"))</f>
        <v/>
      </c>
      <c r="D159" s="11"/>
      <c r="E159" s="11"/>
      <c r="F159" s="5" t="str">
        <f>IF(E159="","",IFERROR(INDEX(칩코드!$C$5:$C$60,MATCH(E159,칩코드!$A$5:$A$60,0)),"?"))</f>
        <v/>
      </c>
      <c r="G159" s="12"/>
      <c r="H159" s="11"/>
      <c r="I159" s="11"/>
      <c r="J159" s="11"/>
      <c r="K159" s="11"/>
      <c r="L159" s="12"/>
      <c r="M159" s="12"/>
      <c r="N159" s="11"/>
      <c r="O159" s="12"/>
      <c r="P159" s="12"/>
      <c r="Q159" s="12"/>
      <c r="R159" s="5" t="str">
        <f t="shared" si="13"/>
        <v/>
      </c>
      <c r="S159" s="5" t="str">
        <f t="shared" si="14"/>
        <v/>
      </c>
      <c r="T159" s="3" t="str">
        <f>IF(B159="","",IF(LEN(B159)&lt;&gt;3,"3자리 아님",IF(SUMPRODUCT(--ISERROR(FIND(MID(B159,{1,2,3},1),"ABCDEFGHIJKLMNOPQRSTUVWXYZ0123456789")))&gt;0,"문자 오류",IF(COUNTIF(코드목록!$B$2:$B$20,LEFT(B159,1))=0,"구분 오류",IF(AND(LEFT(B159,1)="M",RIGHT(B159,1)&lt;&gt;"0"),"모듈 리비전은 0",IF(AND(LEFT(B159,1)&lt;&gt;"M",RIGHT(B159,1)="0"),"리비전은 1부터",IF(COUNTIF($B$5:$B$200,B159)&gt;1,"중복","OK")))))))</f>
        <v/>
      </c>
      <c r="U159" s="3" t="str">
        <f>IF(B159="","",IF(COUNTIF(칩코드!$A$5:$A$60,E159)=0,"칩 미등록",IF(AND(OR(LEFT(B159,1)="C",LEFT(B159,1)="D"),I159=""),"고객 코드 필요",IF(AND(I159&lt;&gt;"",COUNTIF(고객코드!$A$5:$A$200,I159)=0),"고객 미등록",IF(AND(N159&lt;&gt;"",COUNTIF(고객코드!$A$5:$A$200,LEFT(N159,2))=0),"기본값 미등록",IF(AND(H159&lt;&gt;"",COUNTIF($B$5:$B$200,H159)=0),"이전 코드 없음","OK"))))))</f>
        <v/>
      </c>
    </row>
    <row r="160" spans="1:21" x14ac:dyDescent="0.3">
      <c r="A160" s="3" t="str">
        <f t="shared" si="12"/>
        <v/>
      </c>
      <c r="B160" s="11"/>
      <c r="C160" s="5" t="str">
        <f>IF(B160="","",IFERROR(INDEX(코드목록!$C$2:$C$20,MATCH(LEFT(B160,1),코드목록!$B$2:$B$20,0)),"?"))</f>
        <v/>
      </c>
      <c r="D160" s="11"/>
      <c r="E160" s="11"/>
      <c r="F160" s="5" t="str">
        <f>IF(E160="","",IFERROR(INDEX(칩코드!$C$5:$C$60,MATCH(E160,칩코드!$A$5:$A$60,0)),"?"))</f>
        <v/>
      </c>
      <c r="G160" s="12"/>
      <c r="H160" s="11"/>
      <c r="I160" s="11"/>
      <c r="J160" s="11"/>
      <c r="K160" s="11"/>
      <c r="L160" s="12"/>
      <c r="M160" s="12"/>
      <c r="N160" s="11"/>
      <c r="O160" s="12"/>
      <c r="P160" s="12"/>
      <c r="Q160" s="12"/>
      <c r="R160" s="5" t="str">
        <f t="shared" si="13"/>
        <v/>
      </c>
      <c r="S160" s="5" t="str">
        <f t="shared" si="14"/>
        <v/>
      </c>
      <c r="T160" s="3" t="str">
        <f>IF(B160="","",IF(LEN(B160)&lt;&gt;3,"3자리 아님",IF(SUMPRODUCT(--ISERROR(FIND(MID(B160,{1,2,3},1),"ABCDEFGHIJKLMNOPQRSTUVWXYZ0123456789")))&gt;0,"문자 오류",IF(COUNTIF(코드목록!$B$2:$B$20,LEFT(B160,1))=0,"구분 오류",IF(AND(LEFT(B160,1)="M",RIGHT(B160,1)&lt;&gt;"0"),"모듈 리비전은 0",IF(AND(LEFT(B160,1)&lt;&gt;"M",RIGHT(B160,1)="0"),"리비전은 1부터",IF(COUNTIF($B$5:$B$200,B160)&gt;1,"중복","OK")))))))</f>
        <v/>
      </c>
      <c r="U160" s="3" t="str">
        <f>IF(B160="","",IF(COUNTIF(칩코드!$A$5:$A$60,E160)=0,"칩 미등록",IF(AND(OR(LEFT(B160,1)="C",LEFT(B160,1)="D"),I160=""),"고객 코드 필요",IF(AND(I160&lt;&gt;"",COUNTIF(고객코드!$A$5:$A$200,I160)=0),"고객 미등록",IF(AND(N160&lt;&gt;"",COUNTIF(고객코드!$A$5:$A$200,LEFT(N160,2))=0),"기본값 미등록",IF(AND(H160&lt;&gt;"",COUNTIF($B$5:$B$200,H160)=0),"이전 코드 없음","OK"))))))</f>
        <v/>
      </c>
    </row>
    <row r="161" spans="1:21" x14ac:dyDescent="0.3">
      <c r="A161" s="3" t="str">
        <f t="shared" si="12"/>
        <v/>
      </c>
      <c r="B161" s="11"/>
      <c r="C161" s="5" t="str">
        <f>IF(B161="","",IFERROR(INDEX(코드목록!$C$2:$C$20,MATCH(LEFT(B161,1),코드목록!$B$2:$B$20,0)),"?"))</f>
        <v/>
      </c>
      <c r="D161" s="11"/>
      <c r="E161" s="11"/>
      <c r="F161" s="5" t="str">
        <f>IF(E161="","",IFERROR(INDEX(칩코드!$C$5:$C$60,MATCH(E161,칩코드!$A$5:$A$60,0)),"?"))</f>
        <v/>
      </c>
      <c r="G161" s="12"/>
      <c r="H161" s="11"/>
      <c r="I161" s="11"/>
      <c r="J161" s="11"/>
      <c r="K161" s="11"/>
      <c r="L161" s="12"/>
      <c r="M161" s="12"/>
      <c r="N161" s="11"/>
      <c r="O161" s="12"/>
      <c r="P161" s="12"/>
      <c r="Q161" s="12"/>
      <c r="R161" s="5" t="str">
        <f t="shared" si="13"/>
        <v/>
      </c>
      <c r="S161" s="5" t="str">
        <f t="shared" si="14"/>
        <v/>
      </c>
      <c r="T161" s="3" t="str">
        <f>IF(B161="","",IF(LEN(B161)&lt;&gt;3,"3자리 아님",IF(SUMPRODUCT(--ISERROR(FIND(MID(B161,{1,2,3},1),"ABCDEFGHIJKLMNOPQRSTUVWXYZ0123456789")))&gt;0,"문자 오류",IF(COUNTIF(코드목록!$B$2:$B$20,LEFT(B161,1))=0,"구분 오류",IF(AND(LEFT(B161,1)="M",RIGHT(B161,1)&lt;&gt;"0"),"모듈 리비전은 0",IF(AND(LEFT(B161,1)&lt;&gt;"M",RIGHT(B161,1)="0"),"리비전은 1부터",IF(COUNTIF($B$5:$B$200,B161)&gt;1,"중복","OK")))))))</f>
        <v/>
      </c>
      <c r="U161" s="3" t="str">
        <f>IF(B161="","",IF(COUNTIF(칩코드!$A$5:$A$60,E161)=0,"칩 미등록",IF(AND(OR(LEFT(B161,1)="C",LEFT(B161,1)="D"),I161=""),"고객 코드 필요",IF(AND(I161&lt;&gt;"",COUNTIF(고객코드!$A$5:$A$200,I161)=0),"고객 미등록",IF(AND(N161&lt;&gt;"",COUNTIF(고객코드!$A$5:$A$200,LEFT(N161,2))=0),"기본값 미등록",IF(AND(H161&lt;&gt;"",COUNTIF($B$5:$B$200,H161)=0),"이전 코드 없음","OK"))))))</f>
        <v/>
      </c>
    </row>
    <row r="162" spans="1:21" x14ac:dyDescent="0.3">
      <c r="A162" s="3" t="str">
        <f t="shared" si="12"/>
        <v/>
      </c>
      <c r="B162" s="11"/>
      <c r="C162" s="5" t="str">
        <f>IF(B162="","",IFERROR(INDEX(코드목록!$C$2:$C$20,MATCH(LEFT(B162,1),코드목록!$B$2:$B$20,0)),"?"))</f>
        <v/>
      </c>
      <c r="D162" s="11"/>
      <c r="E162" s="11"/>
      <c r="F162" s="5" t="str">
        <f>IF(E162="","",IFERROR(INDEX(칩코드!$C$5:$C$60,MATCH(E162,칩코드!$A$5:$A$60,0)),"?"))</f>
        <v/>
      </c>
      <c r="G162" s="12"/>
      <c r="H162" s="11"/>
      <c r="I162" s="11"/>
      <c r="J162" s="11"/>
      <c r="K162" s="11"/>
      <c r="L162" s="12"/>
      <c r="M162" s="12"/>
      <c r="N162" s="11"/>
      <c r="O162" s="12"/>
      <c r="P162" s="12"/>
      <c r="Q162" s="12"/>
      <c r="R162" s="5" t="str">
        <f t="shared" si="13"/>
        <v/>
      </c>
      <c r="S162" s="5" t="str">
        <f t="shared" si="14"/>
        <v/>
      </c>
      <c r="T162" s="3" t="str">
        <f>IF(B162="","",IF(LEN(B162)&lt;&gt;3,"3자리 아님",IF(SUMPRODUCT(--ISERROR(FIND(MID(B162,{1,2,3},1),"ABCDEFGHIJKLMNOPQRSTUVWXYZ0123456789")))&gt;0,"문자 오류",IF(COUNTIF(코드목록!$B$2:$B$20,LEFT(B162,1))=0,"구분 오류",IF(AND(LEFT(B162,1)="M",RIGHT(B162,1)&lt;&gt;"0"),"모듈 리비전은 0",IF(AND(LEFT(B162,1)&lt;&gt;"M",RIGHT(B162,1)="0"),"리비전은 1부터",IF(COUNTIF($B$5:$B$200,B162)&gt;1,"중복","OK")))))))</f>
        <v/>
      </c>
      <c r="U162" s="3" t="str">
        <f>IF(B162="","",IF(COUNTIF(칩코드!$A$5:$A$60,E162)=0,"칩 미등록",IF(AND(OR(LEFT(B162,1)="C",LEFT(B162,1)="D"),I162=""),"고객 코드 필요",IF(AND(I162&lt;&gt;"",COUNTIF(고객코드!$A$5:$A$200,I162)=0),"고객 미등록",IF(AND(N162&lt;&gt;"",COUNTIF(고객코드!$A$5:$A$200,LEFT(N162,2))=0),"기본값 미등록",IF(AND(H162&lt;&gt;"",COUNTIF($B$5:$B$200,H162)=0),"이전 코드 없음","OK"))))))</f>
        <v/>
      </c>
    </row>
    <row r="163" spans="1:21" x14ac:dyDescent="0.3">
      <c r="A163" s="3" t="str">
        <f t="shared" si="12"/>
        <v/>
      </c>
      <c r="B163" s="11"/>
      <c r="C163" s="5" t="str">
        <f>IF(B163="","",IFERROR(INDEX(코드목록!$C$2:$C$20,MATCH(LEFT(B163,1),코드목록!$B$2:$B$20,0)),"?"))</f>
        <v/>
      </c>
      <c r="D163" s="11"/>
      <c r="E163" s="11"/>
      <c r="F163" s="5" t="str">
        <f>IF(E163="","",IFERROR(INDEX(칩코드!$C$5:$C$60,MATCH(E163,칩코드!$A$5:$A$60,0)),"?"))</f>
        <v/>
      </c>
      <c r="G163" s="12"/>
      <c r="H163" s="11"/>
      <c r="I163" s="11"/>
      <c r="J163" s="11"/>
      <c r="K163" s="11"/>
      <c r="L163" s="12"/>
      <c r="M163" s="12"/>
      <c r="N163" s="11"/>
      <c r="O163" s="12"/>
      <c r="P163" s="12"/>
      <c r="Q163" s="12"/>
      <c r="R163" s="5" t="str">
        <f t="shared" si="13"/>
        <v/>
      </c>
      <c r="S163" s="5" t="str">
        <f t="shared" si="14"/>
        <v/>
      </c>
      <c r="T163" s="3" t="str">
        <f>IF(B163="","",IF(LEN(B163)&lt;&gt;3,"3자리 아님",IF(SUMPRODUCT(--ISERROR(FIND(MID(B163,{1,2,3},1),"ABCDEFGHIJKLMNOPQRSTUVWXYZ0123456789")))&gt;0,"문자 오류",IF(COUNTIF(코드목록!$B$2:$B$20,LEFT(B163,1))=0,"구분 오류",IF(AND(LEFT(B163,1)="M",RIGHT(B163,1)&lt;&gt;"0"),"모듈 리비전은 0",IF(AND(LEFT(B163,1)&lt;&gt;"M",RIGHT(B163,1)="0"),"리비전은 1부터",IF(COUNTIF($B$5:$B$200,B163)&gt;1,"중복","OK")))))))</f>
        <v/>
      </c>
      <c r="U163" s="3" t="str">
        <f>IF(B163="","",IF(COUNTIF(칩코드!$A$5:$A$60,E163)=0,"칩 미등록",IF(AND(OR(LEFT(B163,1)="C",LEFT(B163,1)="D"),I163=""),"고객 코드 필요",IF(AND(I163&lt;&gt;"",COUNTIF(고객코드!$A$5:$A$200,I163)=0),"고객 미등록",IF(AND(N163&lt;&gt;"",COUNTIF(고객코드!$A$5:$A$200,LEFT(N163,2))=0),"기본값 미등록",IF(AND(H163&lt;&gt;"",COUNTIF($B$5:$B$200,H163)=0),"이전 코드 없음","OK"))))))</f>
        <v/>
      </c>
    </row>
    <row r="164" spans="1:21" x14ac:dyDescent="0.3">
      <c r="A164" s="3" t="str">
        <f t="shared" si="12"/>
        <v/>
      </c>
      <c r="B164" s="11"/>
      <c r="C164" s="5" t="str">
        <f>IF(B164="","",IFERROR(INDEX(코드목록!$C$2:$C$20,MATCH(LEFT(B164,1),코드목록!$B$2:$B$20,0)),"?"))</f>
        <v/>
      </c>
      <c r="D164" s="11"/>
      <c r="E164" s="11"/>
      <c r="F164" s="5" t="str">
        <f>IF(E164="","",IFERROR(INDEX(칩코드!$C$5:$C$60,MATCH(E164,칩코드!$A$5:$A$60,0)),"?"))</f>
        <v/>
      </c>
      <c r="G164" s="12"/>
      <c r="H164" s="11"/>
      <c r="I164" s="11"/>
      <c r="J164" s="11"/>
      <c r="K164" s="11"/>
      <c r="L164" s="12"/>
      <c r="M164" s="12"/>
      <c r="N164" s="11"/>
      <c r="O164" s="12"/>
      <c r="P164" s="12"/>
      <c r="Q164" s="12"/>
      <c r="R164" s="5" t="str">
        <f t="shared" si="13"/>
        <v/>
      </c>
      <c r="S164" s="5" t="str">
        <f t="shared" si="14"/>
        <v/>
      </c>
      <c r="T164" s="3" t="str">
        <f>IF(B164="","",IF(LEN(B164)&lt;&gt;3,"3자리 아님",IF(SUMPRODUCT(--ISERROR(FIND(MID(B164,{1,2,3},1),"ABCDEFGHIJKLMNOPQRSTUVWXYZ0123456789")))&gt;0,"문자 오류",IF(COUNTIF(코드목록!$B$2:$B$20,LEFT(B164,1))=0,"구분 오류",IF(AND(LEFT(B164,1)="M",RIGHT(B164,1)&lt;&gt;"0"),"모듈 리비전은 0",IF(AND(LEFT(B164,1)&lt;&gt;"M",RIGHT(B164,1)="0"),"리비전은 1부터",IF(COUNTIF($B$5:$B$200,B164)&gt;1,"중복","OK")))))))</f>
        <v/>
      </c>
      <c r="U164" s="3" t="str">
        <f>IF(B164="","",IF(COUNTIF(칩코드!$A$5:$A$60,E164)=0,"칩 미등록",IF(AND(OR(LEFT(B164,1)="C",LEFT(B164,1)="D"),I164=""),"고객 코드 필요",IF(AND(I164&lt;&gt;"",COUNTIF(고객코드!$A$5:$A$200,I164)=0),"고객 미등록",IF(AND(N164&lt;&gt;"",COUNTIF(고객코드!$A$5:$A$200,LEFT(N164,2))=0),"기본값 미등록",IF(AND(H164&lt;&gt;"",COUNTIF($B$5:$B$200,H164)=0),"이전 코드 없음","OK"))))))</f>
        <v/>
      </c>
    </row>
    <row r="165" spans="1:21" x14ac:dyDescent="0.3">
      <c r="A165" s="3" t="str">
        <f t="shared" ref="A165:A196" si="15">IF(B165="","",ROW()-4)</f>
        <v/>
      </c>
      <c r="B165" s="11"/>
      <c r="C165" s="5" t="str">
        <f>IF(B165="","",IFERROR(INDEX(코드목록!$C$2:$C$20,MATCH(LEFT(B165,1),코드목록!$B$2:$B$20,0)),"?"))</f>
        <v/>
      </c>
      <c r="D165" s="11"/>
      <c r="E165" s="11"/>
      <c r="F165" s="5" t="str">
        <f>IF(E165="","",IFERROR(INDEX(칩코드!$C$5:$C$60,MATCH(E165,칩코드!$A$5:$A$60,0)),"?"))</f>
        <v/>
      </c>
      <c r="G165" s="12"/>
      <c r="H165" s="11"/>
      <c r="I165" s="11"/>
      <c r="J165" s="11"/>
      <c r="K165" s="11"/>
      <c r="L165" s="12"/>
      <c r="M165" s="12"/>
      <c r="N165" s="11"/>
      <c r="O165" s="12"/>
      <c r="P165" s="12"/>
      <c r="Q165" s="12"/>
      <c r="R165" s="5" t="str">
        <f t="shared" ref="R165:R200" si="16">IF(OR(B165="",E165="",J165="",K165=""),"",E165&amp;"-"&amp;B165&amp;"-"&amp;J165&amp;"-"&amp;K165)</f>
        <v/>
      </c>
      <c r="S165" s="5" t="str">
        <f t="shared" ref="S165:S196" si="17">IF(R165="","","M2M_"&amp;R165&amp;"_AT-MM-"&amp;IF(M165="","UART",M165)&amp;"_V01.00_"&amp;IF(N165="","AC0",N165)&amp;"_0FN_YYMMDD.zip")</f>
        <v/>
      </c>
      <c r="T165" s="3" t="str">
        <f>IF(B165="","",IF(LEN(B165)&lt;&gt;3,"3자리 아님",IF(SUMPRODUCT(--ISERROR(FIND(MID(B165,{1,2,3},1),"ABCDEFGHIJKLMNOPQRSTUVWXYZ0123456789")))&gt;0,"문자 오류",IF(COUNTIF(코드목록!$B$2:$B$20,LEFT(B165,1))=0,"구분 오류",IF(AND(LEFT(B165,1)="M",RIGHT(B165,1)&lt;&gt;"0"),"모듈 리비전은 0",IF(AND(LEFT(B165,1)&lt;&gt;"M",RIGHT(B165,1)="0"),"리비전은 1부터",IF(COUNTIF($B$5:$B$200,B165)&gt;1,"중복","OK")))))))</f>
        <v/>
      </c>
      <c r="U165" s="3" t="str">
        <f>IF(B165="","",IF(COUNTIF(칩코드!$A$5:$A$60,E165)=0,"칩 미등록",IF(AND(OR(LEFT(B165,1)="C",LEFT(B165,1)="D"),I165=""),"고객 코드 필요",IF(AND(I165&lt;&gt;"",COUNTIF(고객코드!$A$5:$A$200,I165)=0),"고객 미등록",IF(AND(N165&lt;&gt;"",COUNTIF(고객코드!$A$5:$A$200,LEFT(N165,2))=0),"기본값 미등록",IF(AND(H165&lt;&gt;"",COUNTIF($B$5:$B$200,H165)=0),"이전 코드 없음","OK"))))))</f>
        <v/>
      </c>
    </row>
    <row r="166" spans="1:21" x14ac:dyDescent="0.3">
      <c r="A166" s="3" t="str">
        <f t="shared" si="15"/>
        <v/>
      </c>
      <c r="B166" s="11"/>
      <c r="C166" s="5" t="str">
        <f>IF(B166="","",IFERROR(INDEX(코드목록!$C$2:$C$20,MATCH(LEFT(B166,1),코드목록!$B$2:$B$20,0)),"?"))</f>
        <v/>
      </c>
      <c r="D166" s="11"/>
      <c r="E166" s="11"/>
      <c r="F166" s="5" t="str">
        <f>IF(E166="","",IFERROR(INDEX(칩코드!$C$5:$C$60,MATCH(E166,칩코드!$A$5:$A$60,0)),"?"))</f>
        <v/>
      </c>
      <c r="G166" s="12"/>
      <c r="H166" s="11"/>
      <c r="I166" s="11"/>
      <c r="J166" s="11"/>
      <c r="K166" s="11"/>
      <c r="L166" s="12"/>
      <c r="M166" s="12"/>
      <c r="N166" s="11"/>
      <c r="O166" s="12"/>
      <c r="P166" s="12"/>
      <c r="Q166" s="12"/>
      <c r="R166" s="5" t="str">
        <f t="shared" si="16"/>
        <v/>
      </c>
      <c r="S166" s="5" t="str">
        <f t="shared" si="17"/>
        <v/>
      </c>
      <c r="T166" s="3" t="str">
        <f>IF(B166="","",IF(LEN(B166)&lt;&gt;3,"3자리 아님",IF(SUMPRODUCT(--ISERROR(FIND(MID(B166,{1,2,3},1),"ABCDEFGHIJKLMNOPQRSTUVWXYZ0123456789")))&gt;0,"문자 오류",IF(COUNTIF(코드목록!$B$2:$B$20,LEFT(B166,1))=0,"구분 오류",IF(AND(LEFT(B166,1)="M",RIGHT(B166,1)&lt;&gt;"0"),"모듈 리비전은 0",IF(AND(LEFT(B166,1)&lt;&gt;"M",RIGHT(B166,1)="0"),"리비전은 1부터",IF(COUNTIF($B$5:$B$200,B166)&gt;1,"중복","OK")))))))</f>
        <v/>
      </c>
      <c r="U166" s="3" t="str">
        <f>IF(B166="","",IF(COUNTIF(칩코드!$A$5:$A$60,E166)=0,"칩 미등록",IF(AND(OR(LEFT(B166,1)="C",LEFT(B166,1)="D"),I166=""),"고객 코드 필요",IF(AND(I166&lt;&gt;"",COUNTIF(고객코드!$A$5:$A$200,I166)=0),"고객 미등록",IF(AND(N166&lt;&gt;"",COUNTIF(고객코드!$A$5:$A$200,LEFT(N166,2))=0),"기본값 미등록",IF(AND(H166&lt;&gt;"",COUNTIF($B$5:$B$200,H166)=0),"이전 코드 없음","OK"))))))</f>
        <v/>
      </c>
    </row>
    <row r="167" spans="1:21" x14ac:dyDescent="0.3">
      <c r="A167" s="3" t="str">
        <f t="shared" si="15"/>
        <v/>
      </c>
      <c r="B167" s="11"/>
      <c r="C167" s="5" t="str">
        <f>IF(B167="","",IFERROR(INDEX(코드목록!$C$2:$C$20,MATCH(LEFT(B167,1),코드목록!$B$2:$B$20,0)),"?"))</f>
        <v/>
      </c>
      <c r="D167" s="11"/>
      <c r="E167" s="11"/>
      <c r="F167" s="5" t="str">
        <f>IF(E167="","",IFERROR(INDEX(칩코드!$C$5:$C$60,MATCH(E167,칩코드!$A$5:$A$60,0)),"?"))</f>
        <v/>
      </c>
      <c r="G167" s="12"/>
      <c r="H167" s="11"/>
      <c r="I167" s="11"/>
      <c r="J167" s="11"/>
      <c r="K167" s="11"/>
      <c r="L167" s="12"/>
      <c r="M167" s="12"/>
      <c r="N167" s="11"/>
      <c r="O167" s="12"/>
      <c r="P167" s="12"/>
      <c r="Q167" s="12"/>
      <c r="R167" s="5" t="str">
        <f t="shared" si="16"/>
        <v/>
      </c>
      <c r="S167" s="5" t="str">
        <f t="shared" si="17"/>
        <v/>
      </c>
      <c r="T167" s="3" t="str">
        <f>IF(B167="","",IF(LEN(B167)&lt;&gt;3,"3자리 아님",IF(SUMPRODUCT(--ISERROR(FIND(MID(B167,{1,2,3},1),"ABCDEFGHIJKLMNOPQRSTUVWXYZ0123456789")))&gt;0,"문자 오류",IF(COUNTIF(코드목록!$B$2:$B$20,LEFT(B167,1))=0,"구분 오류",IF(AND(LEFT(B167,1)="M",RIGHT(B167,1)&lt;&gt;"0"),"모듈 리비전은 0",IF(AND(LEFT(B167,1)&lt;&gt;"M",RIGHT(B167,1)="0"),"리비전은 1부터",IF(COUNTIF($B$5:$B$200,B167)&gt;1,"중복","OK")))))))</f>
        <v/>
      </c>
      <c r="U167" s="3" t="str">
        <f>IF(B167="","",IF(COUNTIF(칩코드!$A$5:$A$60,E167)=0,"칩 미등록",IF(AND(OR(LEFT(B167,1)="C",LEFT(B167,1)="D"),I167=""),"고객 코드 필요",IF(AND(I167&lt;&gt;"",COUNTIF(고객코드!$A$5:$A$200,I167)=0),"고객 미등록",IF(AND(N167&lt;&gt;"",COUNTIF(고객코드!$A$5:$A$200,LEFT(N167,2))=0),"기본값 미등록",IF(AND(H167&lt;&gt;"",COUNTIF($B$5:$B$200,H167)=0),"이전 코드 없음","OK"))))))</f>
        <v/>
      </c>
    </row>
    <row r="168" spans="1:21" x14ac:dyDescent="0.3">
      <c r="A168" s="3" t="str">
        <f t="shared" si="15"/>
        <v/>
      </c>
      <c r="B168" s="11"/>
      <c r="C168" s="5" t="str">
        <f>IF(B168="","",IFERROR(INDEX(코드목록!$C$2:$C$20,MATCH(LEFT(B168,1),코드목록!$B$2:$B$20,0)),"?"))</f>
        <v/>
      </c>
      <c r="D168" s="11"/>
      <c r="E168" s="11"/>
      <c r="F168" s="5" t="str">
        <f>IF(E168="","",IFERROR(INDEX(칩코드!$C$5:$C$60,MATCH(E168,칩코드!$A$5:$A$60,0)),"?"))</f>
        <v/>
      </c>
      <c r="G168" s="12"/>
      <c r="H168" s="11"/>
      <c r="I168" s="11"/>
      <c r="J168" s="11"/>
      <c r="K168" s="11"/>
      <c r="L168" s="12"/>
      <c r="M168" s="12"/>
      <c r="N168" s="11"/>
      <c r="O168" s="12"/>
      <c r="P168" s="12"/>
      <c r="Q168" s="12"/>
      <c r="R168" s="5" t="str">
        <f t="shared" si="16"/>
        <v/>
      </c>
      <c r="S168" s="5" t="str">
        <f t="shared" si="17"/>
        <v/>
      </c>
      <c r="T168" s="3" t="str">
        <f>IF(B168="","",IF(LEN(B168)&lt;&gt;3,"3자리 아님",IF(SUMPRODUCT(--ISERROR(FIND(MID(B168,{1,2,3},1),"ABCDEFGHIJKLMNOPQRSTUVWXYZ0123456789")))&gt;0,"문자 오류",IF(COUNTIF(코드목록!$B$2:$B$20,LEFT(B168,1))=0,"구분 오류",IF(AND(LEFT(B168,1)="M",RIGHT(B168,1)&lt;&gt;"0"),"모듈 리비전은 0",IF(AND(LEFT(B168,1)&lt;&gt;"M",RIGHT(B168,1)="0"),"리비전은 1부터",IF(COUNTIF($B$5:$B$200,B168)&gt;1,"중복","OK")))))))</f>
        <v/>
      </c>
      <c r="U168" s="3" t="str">
        <f>IF(B168="","",IF(COUNTIF(칩코드!$A$5:$A$60,E168)=0,"칩 미등록",IF(AND(OR(LEFT(B168,1)="C",LEFT(B168,1)="D"),I168=""),"고객 코드 필요",IF(AND(I168&lt;&gt;"",COUNTIF(고객코드!$A$5:$A$200,I168)=0),"고객 미등록",IF(AND(N168&lt;&gt;"",COUNTIF(고객코드!$A$5:$A$200,LEFT(N168,2))=0),"기본값 미등록",IF(AND(H168&lt;&gt;"",COUNTIF($B$5:$B$200,H168)=0),"이전 코드 없음","OK"))))))</f>
        <v/>
      </c>
    </row>
    <row r="169" spans="1:21" x14ac:dyDescent="0.3">
      <c r="A169" s="3" t="str">
        <f t="shared" si="15"/>
        <v/>
      </c>
      <c r="B169" s="11"/>
      <c r="C169" s="5" t="str">
        <f>IF(B169="","",IFERROR(INDEX(코드목록!$C$2:$C$20,MATCH(LEFT(B169,1),코드목록!$B$2:$B$20,0)),"?"))</f>
        <v/>
      </c>
      <c r="D169" s="11"/>
      <c r="E169" s="11"/>
      <c r="F169" s="5" t="str">
        <f>IF(E169="","",IFERROR(INDEX(칩코드!$C$5:$C$60,MATCH(E169,칩코드!$A$5:$A$60,0)),"?"))</f>
        <v/>
      </c>
      <c r="G169" s="12"/>
      <c r="H169" s="11"/>
      <c r="I169" s="11"/>
      <c r="J169" s="11"/>
      <c r="K169" s="11"/>
      <c r="L169" s="12"/>
      <c r="M169" s="12"/>
      <c r="N169" s="11"/>
      <c r="O169" s="12"/>
      <c r="P169" s="12"/>
      <c r="Q169" s="12"/>
      <c r="R169" s="5" t="str">
        <f t="shared" si="16"/>
        <v/>
      </c>
      <c r="S169" s="5" t="str">
        <f t="shared" si="17"/>
        <v/>
      </c>
      <c r="T169" s="3" t="str">
        <f>IF(B169="","",IF(LEN(B169)&lt;&gt;3,"3자리 아님",IF(SUMPRODUCT(--ISERROR(FIND(MID(B169,{1,2,3},1),"ABCDEFGHIJKLMNOPQRSTUVWXYZ0123456789")))&gt;0,"문자 오류",IF(COUNTIF(코드목록!$B$2:$B$20,LEFT(B169,1))=0,"구분 오류",IF(AND(LEFT(B169,1)="M",RIGHT(B169,1)&lt;&gt;"0"),"모듈 리비전은 0",IF(AND(LEFT(B169,1)&lt;&gt;"M",RIGHT(B169,1)="0"),"리비전은 1부터",IF(COUNTIF($B$5:$B$200,B169)&gt;1,"중복","OK")))))))</f>
        <v/>
      </c>
      <c r="U169" s="3" t="str">
        <f>IF(B169="","",IF(COUNTIF(칩코드!$A$5:$A$60,E169)=0,"칩 미등록",IF(AND(OR(LEFT(B169,1)="C",LEFT(B169,1)="D"),I169=""),"고객 코드 필요",IF(AND(I169&lt;&gt;"",COUNTIF(고객코드!$A$5:$A$200,I169)=0),"고객 미등록",IF(AND(N169&lt;&gt;"",COUNTIF(고객코드!$A$5:$A$200,LEFT(N169,2))=0),"기본값 미등록",IF(AND(H169&lt;&gt;"",COUNTIF($B$5:$B$200,H169)=0),"이전 코드 없음","OK"))))))</f>
        <v/>
      </c>
    </row>
    <row r="170" spans="1:21" x14ac:dyDescent="0.3">
      <c r="A170" s="3" t="str">
        <f t="shared" si="15"/>
        <v/>
      </c>
      <c r="B170" s="11"/>
      <c r="C170" s="5" t="str">
        <f>IF(B170="","",IFERROR(INDEX(코드목록!$C$2:$C$20,MATCH(LEFT(B170,1),코드목록!$B$2:$B$20,0)),"?"))</f>
        <v/>
      </c>
      <c r="D170" s="11"/>
      <c r="E170" s="11"/>
      <c r="F170" s="5" t="str">
        <f>IF(E170="","",IFERROR(INDEX(칩코드!$C$5:$C$60,MATCH(E170,칩코드!$A$5:$A$60,0)),"?"))</f>
        <v/>
      </c>
      <c r="G170" s="12"/>
      <c r="H170" s="11"/>
      <c r="I170" s="11"/>
      <c r="J170" s="11"/>
      <c r="K170" s="11"/>
      <c r="L170" s="12"/>
      <c r="M170" s="12"/>
      <c r="N170" s="11"/>
      <c r="O170" s="12"/>
      <c r="P170" s="12"/>
      <c r="Q170" s="12"/>
      <c r="R170" s="5" t="str">
        <f t="shared" si="16"/>
        <v/>
      </c>
      <c r="S170" s="5" t="str">
        <f t="shared" si="17"/>
        <v/>
      </c>
      <c r="T170" s="3" t="str">
        <f>IF(B170="","",IF(LEN(B170)&lt;&gt;3,"3자리 아님",IF(SUMPRODUCT(--ISERROR(FIND(MID(B170,{1,2,3},1),"ABCDEFGHIJKLMNOPQRSTUVWXYZ0123456789")))&gt;0,"문자 오류",IF(COUNTIF(코드목록!$B$2:$B$20,LEFT(B170,1))=0,"구분 오류",IF(AND(LEFT(B170,1)="M",RIGHT(B170,1)&lt;&gt;"0"),"모듈 리비전은 0",IF(AND(LEFT(B170,1)&lt;&gt;"M",RIGHT(B170,1)="0"),"리비전은 1부터",IF(COUNTIF($B$5:$B$200,B170)&gt;1,"중복","OK")))))))</f>
        <v/>
      </c>
      <c r="U170" s="3" t="str">
        <f>IF(B170="","",IF(COUNTIF(칩코드!$A$5:$A$60,E170)=0,"칩 미등록",IF(AND(OR(LEFT(B170,1)="C",LEFT(B170,1)="D"),I170=""),"고객 코드 필요",IF(AND(I170&lt;&gt;"",COUNTIF(고객코드!$A$5:$A$200,I170)=0),"고객 미등록",IF(AND(N170&lt;&gt;"",COUNTIF(고객코드!$A$5:$A$200,LEFT(N170,2))=0),"기본값 미등록",IF(AND(H170&lt;&gt;"",COUNTIF($B$5:$B$200,H170)=0),"이전 코드 없음","OK"))))))</f>
        <v/>
      </c>
    </row>
    <row r="171" spans="1:21" x14ac:dyDescent="0.3">
      <c r="A171" s="3" t="str">
        <f t="shared" si="15"/>
        <v/>
      </c>
      <c r="B171" s="11"/>
      <c r="C171" s="5" t="str">
        <f>IF(B171="","",IFERROR(INDEX(코드목록!$C$2:$C$20,MATCH(LEFT(B171,1),코드목록!$B$2:$B$20,0)),"?"))</f>
        <v/>
      </c>
      <c r="D171" s="11"/>
      <c r="E171" s="11"/>
      <c r="F171" s="5" t="str">
        <f>IF(E171="","",IFERROR(INDEX(칩코드!$C$5:$C$60,MATCH(E171,칩코드!$A$5:$A$60,0)),"?"))</f>
        <v/>
      </c>
      <c r="G171" s="12"/>
      <c r="H171" s="11"/>
      <c r="I171" s="11"/>
      <c r="J171" s="11"/>
      <c r="K171" s="11"/>
      <c r="L171" s="12"/>
      <c r="M171" s="12"/>
      <c r="N171" s="11"/>
      <c r="O171" s="12"/>
      <c r="P171" s="12"/>
      <c r="Q171" s="12"/>
      <c r="R171" s="5" t="str">
        <f t="shared" si="16"/>
        <v/>
      </c>
      <c r="S171" s="5" t="str">
        <f t="shared" si="17"/>
        <v/>
      </c>
      <c r="T171" s="3" t="str">
        <f>IF(B171="","",IF(LEN(B171)&lt;&gt;3,"3자리 아님",IF(SUMPRODUCT(--ISERROR(FIND(MID(B171,{1,2,3},1),"ABCDEFGHIJKLMNOPQRSTUVWXYZ0123456789")))&gt;0,"문자 오류",IF(COUNTIF(코드목록!$B$2:$B$20,LEFT(B171,1))=0,"구분 오류",IF(AND(LEFT(B171,1)="M",RIGHT(B171,1)&lt;&gt;"0"),"모듈 리비전은 0",IF(AND(LEFT(B171,1)&lt;&gt;"M",RIGHT(B171,1)="0"),"리비전은 1부터",IF(COUNTIF($B$5:$B$200,B171)&gt;1,"중복","OK")))))))</f>
        <v/>
      </c>
      <c r="U171" s="3" t="str">
        <f>IF(B171="","",IF(COUNTIF(칩코드!$A$5:$A$60,E171)=0,"칩 미등록",IF(AND(OR(LEFT(B171,1)="C",LEFT(B171,1)="D"),I171=""),"고객 코드 필요",IF(AND(I171&lt;&gt;"",COUNTIF(고객코드!$A$5:$A$200,I171)=0),"고객 미등록",IF(AND(N171&lt;&gt;"",COUNTIF(고객코드!$A$5:$A$200,LEFT(N171,2))=0),"기본값 미등록",IF(AND(H171&lt;&gt;"",COUNTIF($B$5:$B$200,H171)=0),"이전 코드 없음","OK"))))))</f>
        <v/>
      </c>
    </row>
    <row r="172" spans="1:21" x14ac:dyDescent="0.3">
      <c r="A172" s="3" t="str">
        <f t="shared" si="15"/>
        <v/>
      </c>
      <c r="B172" s="11"/>
      <c r="C172" s="5" t="str">
        <f>IF(B172="","",IFERROR(INDEX(코드목록!$C$2:$C$20,MATCH(LEFT(B172,1),코드목록!$B$2:$B$20,0)),"?"))</f>
        <v/>
      </c>
      <c r="D172" s="11"/>
      <c r="E172" s="11"/>
      <c r="F172" s="5" t="str">
        <f>IF(E172="","",IFERROR(INDEX(칩코드!$C$5:$C$60,MATCH(E172,칩코드!$A$5:$A$60,0)),"?"))</f>
        <v/>
      </c>
      <c r="G172" s="12"/>
      <c r="H172" s="11"/>
      <c r="I172" s="11"/>
      <c r="J172" s="11"/>
      <c r="K172" s="11"/>
      <c r="L172" s="12"/>
      <c r="M172" s="12"/>
      <c r="N172" s="11"/>
      <c r="O172" s="12"/>
      <c r="P172" s="12"/>
      <c r="Q172" s="12"/>
      <c r="R172" s="5" t="str">
        <f t="shared" si="16"/>
        <v/>
      </c>
      <c r="S172" s="5" t="str">
        <f t="shared" si="17"/>
        <v/>
      </c>
      <c r="T172" s="3" t="str">
        <f>IF(B172="","",IF(LEN(B172)&lt;&gt;3,"3자리 아님",IF(SUMPRODUCT(--ISERROR(FIND(MID(B172,{1,2,3},1),"ABCDEFGHIJKLMNOPQRSTUVWXYZ0123456789")))&gt;0,"문자 오류",IF(COUNTIF(코드목록!$B$2:$B$20,LEFT(B172,1))=0,"구분 오류",IF(AND(LEFT(B172,1)="M",RIGHT(B172,1)&lt;&gt;"0"),"모듈 리비전은 0",IF(AND(LEFT(B172,1)&lt;&gt;"M",RIGHT(B172,1)="0"),"리비전은 1부터",IF(COUNTIF($B$5:$B$200,B172)&gt;1,"중복","OK")))))))</f>
        <v/>
      </c>
      <c r="U172" s="3" t="str">
        <f>IF(B172="","",IF(COUNTIF(칩코드!$A$5:$A$60,E172)=0,"칩 미등록",IF(AND(OR(LEFT(B172,1)="C",LEFT(B172,1)="D"),I172=""),"고객 코드 필요",IF(AND(I172&lt;&gt;"",COUNTIF(고객코드!$A$5:$A$200,I172)=0),"고객 미등록",IF(AND(N172&lt;&gt;"",COUNTIF(고객코드!$A$5:$A$200,LEFT(N172,2))=0),"기본값 미등록",IF(AND(H172&lt;&gt;"",COUNTIF($B$5:$B$200,H172)=0),"이전 코드 없음","OK"))))))</f>
        <v/>
      </c>
    </row>
    <row r="173" spans="1:21" x14ac:dyDescent="0.3">
      <c r="A173" s="3" t="str">
        <f t="shared" si="15"/>
        <v/>
      </c>
      <c r="B173" s="11"/>
      <c r="C173" s="5" t="str">
        <f>IF(B173="","",IFERROR(INDEX(코드목록!$C$2:$C$20,MATCH(LEFT(B173,1),코드목록!$B$2:$B$20,0)),"?"))</f>
        <v/>
      </c>
      <c r="D173" s="11"/>
      <c r="E173" s="11"/>
      <c r="F173" s="5" t="str">
        <f>IF(E173="","",IFERROR(INDEX(칩코드!$C$5:$C$60,MATCH(E173,칩코드!$A$5:$A$60,0)),"?"))</f>
        <v/>
      </c>
      <c r="G173" s="12"/>
      <c r="H173" s="11"/>
      <c r="I173" s="11"/>
      <c r="J173" s="11"/>
      <c r="K173" s="11"/>
      <c r="L173" s="12"/>
      <c r="M173" s="12"/>
      <c r="N173" s="11"/>
      <c r="O173" s="12"/>
      <c r="P173" s="12"/>
      <c r="Q173" s="12"/>
      <c r="R173" s="5" t="str">
        <f t="shared" si="16"/>
        <v/>
      </c>
      <c r="S173" s="5" t="str">
        <f t="shared" si="17"/>
        <v/>
      </c>
      <c r="T173" s="3" t="str">
        <f>IF(B173="","",IF(LEN(B173)&lt;&gt;3,"3자리 아님",IF(SUMPRODUCT(--ISERROR(FIND(MID(B173,{1,2,3},1),"ABCDEFGHIJKLMNOPQRSTUVWXYZ0123456789")))&gt;0,"문자 오류",IF(COUNTIF(코드목록!$B$2:$B$20,LEFT(B173,1))=0,"구분 오류",IF(AND(LEFT(B173,1)="M",RIGHT(B173,1)&lt;&gt;"0"),"모듈 리비전은 0",IF(AND(LEFT(B173,1)&lt;&gt;"M",RIGHT(B173,1)="0"),"리비전은 1부터",IF(COUNTIF($B$5:$B$200,B173)&gt;1,"중복","OK")))))))</f>
        <v/>
      </c>
      <c r="U173" s="3" t="str">
        <f>IF(B173="","",IF(COUNTIF(칩코드!$A$5:$A$60,E173)=0,"칩 미등록",IF(AND(OR(LEFT(B173,1)="C",LEFT(B173,1)="D"),I173=""),"고객 코드 필요",IF(AND(I173&lt;&gt;"",COUNTIF(고객코드!$A$5:$A$200,I173)=0),"고객 미등록",IF(AND(N173&lt;&gt;"",COUNTIF(고객코드!$A$5:$A$200,LEFT(N173,2))=0),"기본값 미등록",IF(AND(H173&lt;&gt;"",COUNTIF($B$5:$B$200,H173)=0),"이전 코드 없음","OK"))))))</f>
        <v/>
      </c>
    </row>
    <row r="174" spans="1:21" x14ac:dyDescent="0.3">
      <c r="A174" s="3" t="str">
        <f t="shared" si="15"/>
        <v/>
      </c>
      <c r="B174" s="11"/>
      <c r="C174" s="5" t="str">
        <f>IF(B174="","",IFERROR(INDEX(코드목록!$C$2:$C$20,MATCH(LEFT(B174,1),코드목록!$B$2:$B$20,0)),"?"))</f>
        <v/>
      </c>
      <c r="D174" s="11"/>
      <c r="E174" s="11"/>
      <c r="F174" s="5" t="str">
        <f>IF(E174="","",IFERROR(INDEX(칩코드!$C$5:$C$60,MATCH(E174,칩코드!$A$5:$A$60,0)),"?"))</f>
        <v/>
      </c>
      <c r="G174" s="12"/>
      <c r="H174" s="11"/>
      <c r="I174" s="11"/>
      <c r="J174" s="11"/>
      <c r="K174" s="11"/>
      <c r="L174" s="12"/>
      <c r="M174" s="12"/>
      <c r="N174" s="11"/>
      <c r="O174" s="12"/>
      <c r="P174" s="12"/>
      <c r="Q174" s="12"/>
      <c r="R174" s="5" t="str">
        <f t="shared" si="16"/>
        <v/>
      </c>
      <c r="S174" s="5" t="str">
        <f t="shared" si="17"/>
        <v/>
      </c>
      <c r="T174" s="3" t="str">
        <f>IF(B174="","",IF(LEN(B174)&lt;&gt;3,"3자리 아님",IF(SUMPRODUCT(--ISERROR(FIND(MID(B174,{1,2,3},1),"ABCDEFGHIJKLMNOPQRSTUVWXYZ0123456789")))&gt;0,"문자 오류",IF(COUNTIF(코드목록!$B$2:$B$20,LEFT(B174,1))=0,"구분 오류",IF(AND(LEFT(B174,1)="M",RIGHT(B174,1)&lt;&gt;"0"),"모듈 리비전은 0",IF(AND(LEFT(B174,1)&lt;&gt;"M",RIGHT(B174,1)="0"),"리비전은 1부터",IF(COUNTIF($B$5:$B$200,B174)&gt;1,"중복","OK")))))))</f>
        <v/>
      </c>
      <c r="U174" s="3" t="str">
        <f>IF(B174="","",IF(COUNTIF(칩코드!$A$5:$A$60,E174)=0,"칩 미등록",IF(AND(OR(LEFT(B174,1)="C",LEFT(B174,1)="D"),I174=""),"고객 코드 필요",IF(AND(I174&lt;&gt;"",COUNTIF(고객코드!$A$5:$A$200,I174)=0),"고객 미등록",IF(AND(N174&lt;&gt;"",COUNTIF(고객코드!$A$5:$A$200,LEFT(N174,2))=0),"기본값 미등록",IF(AND(H174&lt;&gt;"",COUNTIF($B$5:$B$200,H174)=0),"이전 코드 없음","OK"))))))</f>
        <v/>
      </c>
    </row>
    <row r="175" spans="1:21" x14ac:dyDescent="0.3">
      <c r="A175" s="3" t="str">
        <f t="shared" si="15"/>
        <v/>
      </c>
      <c r="B175" s="11"/>
      <c r="C175" s="5" t="str">
        <f>IF(B175="","",IFERROR(INDEX(코드목록!$C$2:$C$20,MATCH(LEFT(B175,1),코드목록!$B$2:$B$20,0)),"?"))</f>
        <v/>
      </c>
      <c r="D175" s="11"/>
      <c r="E175" s="11"/>
      <c r="F175" s="5" t="str">
        <f>IF(E175="","",IFERROR(INDEX(칩코드!$C$5:$C$60,MATCH(E175,칩코드!$A$5:$A$60,0)),"?"))</f>
        <v/>
      </c>
      <c r="G175" s="12"/>
      <c r="H175" s="11"/>
      <c r="I175" s="11"/>
      <c r="J175" s="11"/>
      <c r="K175" s="11"/>
      <c r="L175" s="12"/>
      <c r="M175" s="12"/>
      <c r="N175" s="11"/>
      <c r="O175" s="12"/>
      <c r="P175" s="12"/>
      <c r="Q175" s="12"/>
      <c r="R175" s="5" t="str">
        <f t="shared" si="16"/>
        <v/>
      </c>
      <c r="S175" s="5" t="str">
        <f t="shared" si="17"/>
        <v/>
      </c>
      <c r="T175" s="3" t="str">
        <f>IF(B175="","",IF(LEN(B175)&lt;&gt;3,"3자리 아님",IF(SUMPRODUCT(--ISERROR(FIND(MID(B175,{1,2,3},1),"ABCDEFGHIJKLMNOPQRSTUVWXYZ0123456789")))&gt;0,"문자 오류",IF(COUNTIF(코드목록!$B$2:$B$20,LEFT(B175,1))=0,"구분 오류",IF(AND(LEFT(B175,1)="M",RIGHT(B175,1)&lt;&gt;"0"),"모듈 리비전은 0",IF(AND(LEFT(B175,1)&lt;&gt;"M",RIGHT(B175,1)="0"),"리비전은 1부터",IF(COUNTIF($B$5:$B$200,B175)&gt;1,"중복","OK")))))))</f>
        <v/>
      </c>
      <c r="U175" s="3" t="str">
        <f>IF(B175="","",IF(COUNTIF(칩코드!$A$5:$A$60,E175)=0,"칩 미등록",IF(AND(OR(LEFT(B175,1)="C",LEFT(B175,1)="D"),I175=""),"고객 코드 필요",IF(AND(I175&lt;&gt;"",COUNTIF(고객코드!$A$5:$A$200,I175)=0),"고객 미등록",IF(AND(N175&lt;&gt;"",COUNTIF(고객코드!$A$5:$A$200,LEFT(N175,2))=0),"기본값 미등록",IF(AND(H175&lt;&gt;"",COUNTIF($B$5:$B$200,H175)=0),"이전 코드 없음","OK"))))))</f>
        <v/>
      </c>
    </row>
    <row r="176" spans="1:21" x14ac:dyDescent="0.3">
      <c r="A176" s="3" t="str">
        <f t="shared" si="15"/>
        <v/>
      </c>
      <c r="B176" s="11"/>
      <c r="C176" s="5" t="str">
        <f>IF(B176="","",IFERROR(INDEX(코드목록!$C$2:$C$20,MATCH(LEFT(B176,1),코드목록!$B$2:$B$20,0)),"?"))</f>
        <v/>
      </c>
      <c r="D176" s="11"/>
      <c r="E176" s="11"/>
      <c r="F176" s="5" t="str">
        <f>IF(E176="","",IFERROR(INDEX(칩코드!$C$5:$C$60,MATCH(E176,칩코드!$A$5:$A$60,0)),"?"))</f>
        <v/>
      </c>
      <c r="G176" s="12"/>
      <c r="H176" s="11"/>
      <c r="I176" s="11"/>
      <c r="J176" s="11"/>
      <c r="K176" s="11"/>
      <c r="L176" s="12"/>
      <c r="M176" s="12"/>
      <c r="N176" s="11"/>
      <c r="O176" s="12"/>
      <c r="P176" s="12"/>
      <c r="Q176" s="12"/>
      <c r="R176" s="5" t="str">
        <f t="shared" si="16"/>
        <v/>
      </c>
      <c r="S176" s="5" t="str">
        <f t="shared" si="17"/>
        <v/>
      </c>
      <c r="T176" s="3" t="str">
        <f>IF(B176="","",IF(LEN(B176)&lt;&gt;3,"3자리 아님",IF(SUMPRODUCT(--ISERROR(FIND(MID(B176,{1,2,3},1),"ABCDEFGHIJKLMNOPQRSTUVWXYZ0123456789")))&gt;0,"문자 오류",IF(COUNTIF(코드목록!$B$2:$B$20,LEFT(B176,1))=0,"구분 오류",IF(AND(LEFT(B176,1)="M",RIGHT(B176,1)&lt;&gt;"0"),"모듈 리비전은 0",IF(AND(LEFT(B176,1)&lt;&gt;"M",RIGHT(B176,1)="0"),"리비전은 1부터",IF(COUNTIF($B$5:$B$200,B176)&gt;1,"중복","OK")))))))</f>
        <v/>
      </c>
      <c r="U176" s="3" t="str">
        <f>IF(B176="","",IF(COUNTIF(칩코드!$A$5:$A$60,E176)=0,"칩 미등록",IF(AND(OR(LEFT(B176,1)="C",LEFT(B176,1)="D"),I176=""),"고객 코드 필요",IF(AND(I176&lt;&gt;"",COUNTIF(고객코드!$A$5:$A$200,I176)=0),"고객 미등록",IF(AND(N176&lt;&gt;"",COUNTIF(고객코드!$A$5:$A$200,LEFT(N176,2))=0),"기본값 미등록",IF(AND(H176&lt;&gt;"",COUNTIF($B$5:$B$200,H176)=0),"이전 코드 없음","OK"))))))</f>
        <v/>
      </c>
    </row>
    <row r="177" spans="1:21" x14ac:dyDescent="0.3">
      <c r="A177" s="3" t="str">
        <f t="shared" si="15"/>
        <v/>
      </c>
      <c r="B177" s="11"/>
      <c r="C177" s="5" t="str">
        <f>IF(B177="","",IFERROR(INDEX(코드목록!$C$2:$C$20,MATCH(LEFT(B177,1),코드목록!$B$2:$B$20,0)),"?"))</f>
        <v/>
      </c>
      <c r="D177" s="11"/>
      <c r="E177" s="11"/>
      <c r="F177" s="5" t="str">
        <f>IF(E177="","",IFERROR(INDEX(칩코드!$C$5:$C$60,MATCH(E177,칩코드!$A$5:$A$60,0)),"?"))</f>
        <v/>
      </c>
      <c r="G177" s="12"/>
      <c r="H177" s="11"/>
      <c r="I177" s="11"/>
      <c r="J177" s="11"/>
      <c r="K177" s="11"/>
      <c r="L177" s="12"/>
      <c r="M177" s="12"/>
      <c r="N177" s="11"/>
      <c r="O177" s="12"/>
      <c r="P177" s="12"/>
      <c r="Q177" s="12"/>
      <c r="R177" s="5" t="str">
        <f t="shared" si="16"/>
        <v/>
      </c>
      <c r="S177" s="5" t="str">
        <f t="shared" si="17"/>
        <v/>
      </c>
      <c r="T177" s="3" t="str">
        <f>IF(B177="","",IF(LEN(B177)&lt;&gt;3,"3자리 아님",IF(SUMPRODUCT(--ISERROR(FIND(MID(B177,{1,2,3},1),"ABCDEFGHIJKLMNOPQRSTUVWXYZ0123456789")))&gt;0,"문자 오류",IF(COUNTIF(코드목록!$B$2:$B$20,LEFT(B177,1))=0,"구분 오류",IF(AND(LEFT(B177,1)="M",RIGHT(B177,1)&lt;&gt;"0"),"모듈 리비전은 0",IF(AND(LEFT(B177,1)&lt;&gt;"M",RIGHT(B177,1)="0"),"리비전은 1부터",IF(COUNTIF($B$5:$B$200,B177)&gt;1,"중복","OK")))))))</f>
        <v/>
      </c>
      <c r="U177" s="3" t="str">
        <f>IF(B177="","",IF(COUNTIF(칩코드!$A$5:$A$60,E177)=0,"칩 미등록",IF(AND(OR(LEFT(B177,1)="C",LEFT(B177,1)="D"),I177=""),"고객 코드 필요",IF(AND(I177&lt;&gt;"",COUNTIF(고객코드!$A$5:$A$200,I177)=0),"고객 미등록",IF(AND(N177&lt;&gt;"",COUNTIF(고객코드!$A$5:$A$200,LEFT(N177,2))=0),"기본값 미등록",IF(AND(H177&lt;&gt;"",COUNTIF($B$5:$B$200,H177)=0),"이전 코드 없음","OK"))))))</f>
        <v/>
      </c>
    </row>
    <row r="178" spans="1:21" x14ac:dyDescent="0.3">
      <c r="A178" s="3" t="str">
        <f t="shared" si="15"/>
        <v/>
      </c>
      <c r="B178" s="11"/>
      <c r="C178" s="5" t="str">
        <f>IF(B178="","",IFERROR(INDEX(코드목록!$C$2:$C$20,MATCH(LEFT(B178,1),코드목록!$B$2:$B$20,0)),"?"))</f>
        <v/>
      </c>
      <c r="D178" s="11"/>
      <c r="E178" s="11"/>
      <c r="F178" s="5" t="str">
        <f>IF(E178="","",IFERROR(INDEX(칩코드!$C$5:$C$60,MATCH(E178,칩코드!$A$5:$A$60,0)),"?"))</f>
        <v/>
      </c>
      <c r="G178" s="12"/>
      <c r="H178" s="11"/>
      <c r="I178" s="11"/>
      <c r="J178" s="11"/>
      <c r="K178" s="11"/>
      <c r="L178" s="12"/>
      <c r="M178" s="12"/>
      <c r="N178" s="11"/>
      <c r="O178" s="12"/>
      <c r="P178" s="12"/>
      <c r="Q178" s="12"/>
      <c r="R178" s="5" t="str">
        <f t="shared" si="16"/>
        <v/>
      </c>
      <c r="S178" s="5" t="str">
        <f t="shared" si="17"/>
        <v/>
      </c>
      <c r="T178" s="3" t="str">
        <f>IF(B178="","",IF(LEN(B178)&lt;&gt;3,"3자리 아님",IF(SUMPRODUCT(--ISERROR(FIND(MID(B178,{1,2,3},1),"ABCDEFGHIJKLMNOPQRSTUVWXYZ0123456789")))&gt;0,"문자 오류",IF(COUNTIF(코드목록!$B$2:$B$20,LEFT(B178,1))=0,"구분 오류",IF(AND(LEFT(B178,1)="M",RIGHT(B178,1)&lt;&gt;"0"),"모듈 리비전은 0",IF(AND(LEFT(B178,1)&lt;&gt;"M",RIGHT(B178,1)="0"),"리비전은 1부터",IF(COUNTIF($B$5:$B$200,B178)&gt;1,"중복","OK")))))))</f>
        <v/>
      </c>
      <c r="U178" s="3" t="str">
        <f>IF(B178="","",IF(COUNTIF(칩코드!$A$5:$A$60,E178)=0,"칩 미등록",IF(AND(OR(LEFT(B178,1)="C",LEFT(B178,1)="D"),I178=""),"고객 코드 필요",IF(AND(I178&lt;&gt;"",COUNTIF(고객코드!$A$5:$A$200,I178)=0),"고객 미등록",IF(AND(N178&lt;&gt;"",COUNTIF(고객코드!$A$5:$A$200,LEFT(N178,2))=0),"기본값 미등록",IF(AND(H178&lt;&gt;"",COUNTIF($B$5:$B$200,H178)=0),"이전 코드 없음","OK"))))))</f>
        <v/>
      </c>
    </row>
    <row r="179" spans="1:21" x14ac:dyDescent="0.3">
      <c r="A179" s="3" t="str">
        <f t="shared" si="15"/>
        <v/>
      </c>
      <c r="B179" s="11"/>
      <c r="C179" s="5" t="str">
        <f>IF(B179="","",IFERROR(INDEX(코드목록!$C$2:$C$20,MATCH(LEFT(B179,1),코드목록!$B$2:$B$20,0)),"?"))</f>
        <v/>
      </c>
      <c r="D179" s="11"/>
      <c r="E179" s="11"/>
      <c r="F179" s="5" t="str">
        <f>IF(E179="","",IFERROR(INDEX(칩코드!$C$5:$C$60,MATCH(E179,칩코드!$A$5:$A$60,0)),"?"))</f>
        <v/>
      </c>
      <c r="G179" s="12"/>
      <c r="H179" s="11"/>
      <c r="I179" s="11"/>
      <c r="J179" s="11"/>
      <c r="K179" s="11"/>
      <c r="L179" s="12"/>
      <c r="M179" s="12"/>
      <c r="N179" s="11"/>
      <c r="O179" s="12"/>
      <c r="P179" s="12"/>
      <c r="Q179" s="12"/>
      <c r="R179" s="5" t="str">
        <f t="shared" si="16"/>
        <v/>
      </c>
      <c r="S179" s="5" t="str">
        <f t="shared" si="17"/>
        <v/>
      </c>
      <c r="T179" s="3" t="str">
        <f>IF(B179="","",IF(LEN(B179)&lt;&gt;3,"3자리 아님",IF(SUMPRODUCT(--ISERROR(FIND(MID(B179,{1,2,3},1),"ABCDEFGHIJKLMNOPQRSTUVWXYZ0123456789")))&gt;0,"문자 오류",IF(COUNTIF(코드목록!$B$2:$B$20,LEFT(B179,1))=0,"구분 오류",IF(AND(LEFT(B179,1)="M",RIGHT(B179,1)&lt;&gt;"0"),"모듈 리비전은 0",IF(AND(LEFT(B179,1)&lt;&gt;"M",RIGHT(B179,1)="0"),"리비전은 1부터",IF(COUNTIF($B$5:$B$200,B179)&gt;1,"중복","OK")))))))</f>
        <v/>
      </c>
      <c r="U179" s="3" t="str">
        <f>IF(B179="","",IF(COUNTIF(칩코드!$A$5:$A$60,E179)=0,"칩 미등록",IF(AND(OR(LEFT(B179,1)="C",LEFT(B179,1)="D"),I179=""),"고객 코드 필요",IF(AND(I179&lt;&gt;"",COUNTIF(고객코드!$A$5:$A$200,I179)=0),"고객 미등록",IF(AND(N179&lt;&gt;"",COUNTIF(고객코드!$A$5:$A$200,LEFT(N179,2))=0),"기본값 미등록",IF(AND(H179&lt;&gt;"",COUNTIF($B$5:$B$200,H179)=0),"이전 코드 없음","OK"))))))</f>
        <v/>
      </c>
    </row>
    <row r="180" spans="1:21" x14ac:dyDescent="0.3">
      <c r="A180" s="3" t="str">
        <f t="shared" si="15"/>
        <v/>
      </c>
      <c r="B180" s="11"/>
      <c r="C180" s="5" t="str">
        <f>IF(B180="","",IFERROR(INDEX(코드목록!$C$2:$C$20,MATCH(LEFT(B180,1),코드목록!$B$2:$B$20,0)),"?"))</f>
        <v/>
      </c>
      <c r="D180" s="11"/>
      <c r="E180" s="11"/>
      <c r="F180" s="5" t="str">
        <f>IF(E180="","",IFERROR(INDEX(칩코드!$C$5:$C$60,MATCH(E180,칩코드!$A$5:$A$60,0)),"?"))</f>
        <v/>
      </c>
      <c r="G180" s="12"/>
      <c r="H180" s="11"/>
      <c r="I180" s="11"/>
      <c r="J180" s="11"/>
      <c r="K180" s="11"/>
      <c r="L180" s="12"/>
      <c r="M180" s="12"/>
      <c r="N180" s="11"/>
      <c r="O180" s="12"/>
      <c r="P180" s="12"/>
      <c r="Q180" s="12"/>
      <c r="R180" s="5" t="str">
        <f t="shared" si="16"/>
        <v/>
      </c>
      <c r="S180" s="5" t="str">
        <f t="shared" si="17"/>
        <v/>
      </c>
      <c r="T180" s="3" t="str">
        <f>IF(B180="","",IF(LEN(B180)&lt;&gt;3,"3자리 아님",IF(SUMPRODUCT(--ISERROR(FIND(MID(B180,{1,2,3},1),"ABCDEFGHIJKLMNOPQRSTUVWXYZ0123456789")))&gt;0,"문자 오류",IF(COUNTIF(코드목록!$B$2:$B$20,LEFT(B180,1))=0,"구분 오류",IF(AND(LEFT(B180,1)="M",RIGHT(B180,1)&lt;&gt;"0"),"모듈 리비전은 0",IF(AND(LEFT(B180,1)&lt;&gt;"M",RIGHT(B180,1)="0"),"리비전은 1부터",IF(COUNTIF($B$5:$B$200,B180)&gt;1,"중복","OK")))))))</f>
        <v/>
      </c>
      <c r="U180" s="3" t="str">
        <f>IF(B180="","",IF(COUNTIF(칩코드!$A$5:$A$60,E180)=0,"칩 미등록",IF(AND(OR(LEFT(B180,1)="C",LEFT(B180,1)="D"),I180=""),"고객 코드 필요",IF(AND(I180&lt;&gt;"",COUNTIF(고객코드!$A$5:$A$200,I180)=0),"고객 미등록",IF(AND(N180&lt;&gt;"",COUNTIF(고객코드!$A$5:$A$200,LEFT(N180,2))=0),"기본값 미등록",IF(AND(H180&lt;&gt;"",COUNTIF($B$5:$B$200,H180)=0),"이전 코드 없음","OK"))))))</f>
        <v/>
      </c>
    </row>
    <row r="181" spans="1:21" x14ac:dyDescent="0.3">
      <c r="A181" s="3" t="str">
        <f t="shared" si="15"/>
        <v/>
      </c>
      <c r="B181" s="11"/>
      <c r="C181" s="5" t="str">
        <f>IF(B181="","",IFERROR(INDEX(코드목록!$C$2:$C$20,MATCH(LEFT(B181,1),코드목록!$B$2:$B$20,0)),"?"))</f>
        <v/>
      </c>
      <c r="D181" s="11"/>
      <c r="E181" s="11"/>
      <c r="F181" s="5" t="str">
        <f>IF(E181="","",IFERROR(INDEX(칩코드!$C$5:$C$60,MATCH(E181,칩코드!$A$5:$A$60,0)),"?"))</f>
        <v/>
      </c>
      <c r="G181" s="12"/>
      <c r="H181" s="11"/>
      <c r="I181" s="11"/>
      <c r="J181" s="11"/>
      <c r="K181" s="11"/>
      <c r="L181" s="12"/>
      <c r="M181" s="12"/>
      <c r="N181" s="11"/>
      <c r="O181" s="12"/>
      <c r="P181" s="12"/>
      <c r="Q181" s="12"/>
      <c r="R181" s="5" t="str">
        <f t="shared" si="16"/>
        <v/>
      </c>
      <c r="S181" s="5" t="str">
        <f t="shared" si="17"/>
        <v/>
      </c>
      <c r="T181" s="3" t="str">
        <f>IF(B181="","",IF(LEN(B181)&lt;&gt;3,"3자리 아님",IF(SUMPRODUCT(--ISERROR(FIND(MID(B181,{1,2,3},1),"ABCDEFGHIJKLMNOPQRSTUVWXYZ0123456789")))&gt;0,"문자 오류",IF(COUNTIF(코드목록!$B$2:$B$20,LEFT(B181,1))=0,"구분 오류",IF(AND(LEFT(B181,1)="M",RIGHT(B181,1)&lt;&gt;"0"),"모듈 리비전은 0",IF(AND(LEFT(B181,1)&lt;&gt;"M",RIGHT(B181,1)="0"),"리비전은 1부터",IF(COUNTIF($B$5:$B$200,B181)&gt;1,"중복","OK")))))))</f>
        <v/>
      </c>
      <c r="U181" s="3" t="str">
        <f>IF(B181="","",IF(COUNTIF(칩코드!$A$5:$A$60,E181)=0,"칩 미등록",IF(AND(OR(LEFT(B181,1)="C",LEFT(B181,1)="D"),I181=""),"고객 코드 필요",IF(AND(I181&lt;&gt;"",COUNTIF(고객코드!$A$5:$A$200,I181)=0),"고객 미등록",IF(AND(N181&lt;&gt;"",COUNTIF(고객코드!$A$5:$A$200,LEFT(N181,2))=0),"기본값 미등록",IF(AND(H181&lt;&gt;"",COUNTIF($B$5:$B$200,H181)=0),"이전 코드 없음","OK"))))))</f>
        <v/>
      </c>
    </row>
    <row r="182" spans="1:21" x14ac:dyDescent="0.3">
      <c r="A182" s="3" t="str">
        <f t="shared" si="15"/>
        <v/>
      </c>
      <c r="B182" s="11"/>
      <c r="C182" s="5" t="str">
        <f>IF(B182="","",IFERROR(INDEX(코드목록!$C$2:$C$20,MATCH(LEFT(B182,1),코드목록!$B$2:$B$20,0)),"?"))</f>
        <v/>
      </c>
      <c r="D182" s="11"/>
      <c r="E182" s="11"/>
      <c r="F182" s="5" t="str">
        <f>IF(E182="","",IFERROR(INDEX(칩코드!$C$5:$C$60,MATCH(E182,칩코드!$A$5:$A$60,0)),"?"))</f>
        <v/>
      </c>
      <c r="G182" s="12"/>
      <c r="H182" s="11"/>
      <c r="I182" s="11"/>
      <c r="J182" s="11"/>
      <c r="K182" s="11"/>
      <c r="L182" s="12"/>
      <c r="M182" s="12"/>
      <c r="N182" s="11"/>
      <c r="O182" s="12"/>
      <c r="P182" s="12"/>
      <c r="Q182" s="12"/>
      <c r="R182" s="5" t="str">
        <f t="shared" si="16"/>
        <v/>
      </c>
      <c r="S182" s="5" t="str">
        <f t="shared" si="17"/>
        <v/>
      </c>
      <c r="T182" s="3" t="str">
        <f>IF(B182="","",IF(LEN(B182)&lt;&gt;3,"3자리 아님",IF(SUMPRODUCT(--ISERROR(FIND(MID(B182,{1,2,3},1),"ABCDEFGHIJKLMNOPQRSTUVWXYZ0123456789")))&gt;0,"문자 오류",IF(COUNTIF(코드목록!$B$2:$B$20,LEFT(B182,1))=0,"구분 오류",IF(AND(LEFT(B182,1)="M",RIGHT(B182,1)&lt;&gt;"0"),"모듈 리비전은 0",IF(AND(LEFT(B182,1)&lt;&gt;"M",RIGHT(B182,1)="0"),"리비전은 1부터",IF(COUNTIF($B$5:$B$200,B182)&gt;1,"중복","OK")))))))</f>
        <v/>
      </c>
      <c r="U182" s="3" t="str">
        <f>IF(B182="","",IF(COUNTIF(칩코드!$A$5:$A$60,E182)=0,"칩 미등록",IF(AND(OR(LEFT(B182,1)="C",LEFT(B182,1)="D"),I182=""),"고객 코드 필요",IF(AND(I182&lt;&gt;"",COUNTIF(고객코드!$A$5:$A$200,I182)=0),"고객 미등록",IF(AND(N182&lt;&gt;"",COUNTIF(고객코드!$A$5:$A$200,LEFT(N182,2))=0),"기본값 미등록",IF(AND(H182&lt;&gt;"",COUNTIF($B$5:$B$200,H182)=0),"이전 코드 없음","OK"))))))</f>
        <v/>
      </c>
    </row>
    <row r="183" spans="1:21" x14ac:dyDescent="0.3">
      <c r="A183" s="3" t="str">
        <f t="shared" si="15"/>
        <v/>
      </c>
      <c r="B183" s="11"/>
      <c r="C183" s="5" t="str">
        <f>IF(B183="","",IFERROR(INDEX(코드목록!$C$2:$C$20,MATCH(LEFT(B183,1),코드목록!$B$2:$B$20,0)),"?"))</f>
        <v/>
      </c>
      <c r="D183" s="11"/>
      <c r="E183" s="11"/>
      <c r="F183" s="5" t="str">
        <f>IF(E183="","",IFERROR(INDEX(칩코드!$C$5:$C$60,MATCH(E183,칩코드!$A$5:$A$60,0)),"?"))</f>
        <v/>
      </c>
      <c r="G183" s="12"/>
      <c r="H183" s="11"/>
      <c r="I183" s="11"/>
      <c r="J183" s="11"/>
      <c r="K183" s="11"/>
      <c r="L183" s="12"/>
      <c r="M183" s="12"/>
      <c r="N183" s="11"/>
      <c r="O183" s="12"/>
      <c r="P183" s="12"/>
      <c r="Q183" s="12"/>
      <c r="R183" s="5" t="str">
        <f t="shared" si="16"/>
        <v/>
      </c>
      <c r="S183" s="5" t="str">
        <f t="shared" si="17"/>
        <v/>
      </c>
      <c r="T183" s="3" t="str">
        <f>IF(B183="","",IF(LEN(B183)&lt;&gt;3,"3자리 아님",IF(SUMPRODUCT(--ISERROR(FIND(MID(B183,{1,2,3},1),"ABCDEFGHIJKLMNOPQRSTUVWXYZ0123456789")))&gt;0,"문자 오류",IF(COUNTIF(코드목록!$B$2:$B$20,LEFT(B183,1))=0,"구분 오류",IF(AND(LEFT(B183,1)="M",RIGHT(B183,1)&lt;&gt;"0"),"모듈 리비전은 0",IF(AND(LEFT(B183,1)&lt;&gt;"M",RIGHT(B183,1)="0"),"리비전은 1부터",IF(COUNTIF($B$5:$B$200,B183)&gt;1,"중복","OK")))))))</f>
        <v/>
      </c>
      <c r="U183" s="3" t="str">
        <f>IF(B183="","",IF(COUNTIF(칩코드!$A$5:$A$60,E183)=0,"칩 미등록",IF(AND(OR(LEFT(B183,1)="C",LEFT(B183,1)="D"),I183=""),"고객 코드 필요",IF(AND(I183&lt;&gt;"",COUNTIF(고객코드!$A$5:$A$200,I183)=0),"고객 미등록",IF(AND(N183&lt;&gt;"",COUNTIF(고객코드!$A$5:$A$200,LEFT(N183,2))=0),"기본값 미등록",IF(AND(H183&lt;&gt;"",COUNTIF($B$5:$B$200,H183)=0),"이전 코드 없음","OK"))))))</f>
        <v/>
      </c>
    </row>
    <row r="184" spans="1:21" x14ac:dyDescent="0.3">
      <c r="A184" s="3" t="str">
        <f t="shared" si="15"/>
        <v/>
      </c>
      <c r="B184" s="11"/>
      <c r="C184" s="5" t="str">
        <f>IF(B184="","",IFERROR(INDEX(코드목록!$C$2:$C$20,MATCH(LEFT(B184,1),코드목록!$B$2:$B$20,0)),"?"))</f>
        <v/>
      </c>
      <c r="D184" s="11"/>
      <c r="E184" s="11"/>
      <c r="F184" s="5" t="str">
        <f>IF(E184="","",IFERROR(INDEX(칩코드!$C$5:$C$60,MATCH(E184,칩코드!$A$5:$A$60,0)),"?"))</f>
        <v/>
      </c>
      <c r="G184" s="12"/>
      <c r="H184" s="11"/>
      <c r="I184" s="11"/>
      <c r="J184" s="11"/>
      <c r="K184" s="11"/>
      <c r="L184" s="12"/>
      <c r="M184" s="12"/>
      <c r="N184" s="11"/>
      <c r="O184" s="12"/>
      <c r="P184" s="12"/>
      <c r="Q184" s="12"/>
      <c r="R184" s="5" t="str">
        <f t="shared" si="16"/>
        <v/>
      </c>
      <c r="S184" s="5" t="str">
        <f t="shared" si="17"/>
        <v/>
      </c>
      <c r="T184" s="3" t="str">
        <f>IF(B184="","",IF(LEN(B184)&lt;&gt;3,"3자리 아님",IF(SUMPRODUCT(--ISERROR(FIND(MID(B184,{1,2,3},1),"ABCDEFGHIJKLMNOPQRSTUVWXYZ0123456789")))&gt;0,"문자 오류",IF(COUNTIF(코드목록!$B$2:$B$20,LEFT(B184,1))=0,"구분 오류",IF(AND(LEFT(B184,1)="M",RIGHT(B184,1)&lt;&gt;"0"),"모듈 리비전은 0",IF(AND(LEFT(B184,1)&lt;&gt;"M",RIGHT(B184,1)="0"),"리비전은 1부터",IF(COUNTIF($B$5:$B$200,B184)&gt;1,"중복","OK")))))))</f>
        <v/>
      </c>
      <c r="U184" s="3" t="str">
        <f>IF(B184="","",IF(COUNTIF(칩코드!$A$5:$A$60,E184)=0,"칩 미등록",IF(AND(OR(LEFT(B184,1)="C",LEFT(B184,1)="D"),I184=""),"고객 코드 필요",IF(AND(I184&lt;&gt;"",COUNTIF(고객코드!$A$5:$A$200,I184)=0),"고객 미등록",IF(AND(N184&lt;&gt;"",COUNTIF(고객코드!$A$5:$A$200,LEFT(N184,2))=0),"기본값 미등록",IF(AND(H184&lt;&gt;"",COUNTIF($B$5:$B$200,H184)=0),"이전 코드 없음","OK"))))))</f>
        <v/>
      </c>
    </row>
    <row r="185" spans="1:21" x14ac:dyDescent="0.3">
      <c r="A185" s="3" t="str">
        <f t="shared" si="15"/>
        <v/>
      </c>
      <c r="B185" s="11"/>
      <c r="C185" s="5" t="str">
        <f>IF(B185="","",IFERROR(INDEX(코드목록!$C$2:$C$20,MATCH(LEFT(B185,1),코드목록!$B$2:$B$20,0)),"?"))</f>
        <v/>
      </c>
      <c r="D185" s="11"/>
      <c r="E185" s="11"/>
      <c r="F185" s="5" t="str">
        <f>IF(E185="","",IFERROR(INDEX(칩코드!$C$5:$C$60,MATCH(E185,칩코드!$A$5:$A$60,0)),"?"))</f>
        <v/>
      </c>
      <c r="G185" s="12"/>
      <c r="H185" s="11"/>
      <c r="I185" s="11"/>
      <c r="J185" s="11"/>
      <c r="K185" s="11"/>
      <c r="L185" s="12"/>
      <c r="M185" s="12"/>
      <c r="N185" s="11"/>
      <c r="O185" s="12"/>
      <c r="P185" s="12"/>
      <c r="Q185" s="12"/>
      <c r="R185" s="5" t="str">
        <f t="shared" si="16"/>
        <v/>
      </c>
      <c r="S185" s="5" t="str">
        <f t="shared" si="17"/>
        <v/>
      </c>
      <c r="T185" s="3" t="str">
        <f>IF(B185="","",IF(LEN(B185)&lt;&gt;3,"3자리 아님",IF(SUMPRODUCT(--ISERROR(FIND(MID(B185,{1,2,3},1),"ABCDEFGHIJKLMNOPQRSTUVWXYZ0123456789")))&gt;0,"문자 오류",IF(COUNTIF(코드목록!$B$2:$B$20,LEFT(B185,1))=0,"구분 오류",IF(AND(LEFT(B185,1)="M",RIGHT(B185,1)&lt;&gt;"0"),"모듈 리비전은 0",IF(AND(LEFT(B185,1)&lt;&gt;"M",RIGHT(B185,1)="0"),"리비전은 1부터",IF(COUNTIF($B$5:$B$200,B185)&gt;1,"중복","OK")))))))</f>
        <v/>
      </c>
      <c r="U185" s="3" t="str">
        <f>IF(B185="","",IF(COUNTIF(칩코드!$A$5:$A$60,E185)=0,"칩 미등록",IF(AND(OR(LEFT(B185,1)="C",LEFT(B185,1)="D"),I185=""),"고객 코드 필요",IF(AND(I185&lt;&gt;"",COUNTIF(고객코드!$A$5:$A$200,I185)=0),"고객 미등록",IF(AND(N185&lt;&gt;"",COUNTIF(고객코드!$A$5:$A$200,LEFT(N185,2))=0),"기본값 미등록",IF(AND(H185&lt;&gt;"",COUNTIF($B$5:$B$200,H185)=0),"이전 코드 없음","OK"))))))</f>
        <v/>
      </c>
    </row>
    <row r="186" spans="1:21" x14ac:dyDescent="0.3">
      <c r="A186" s="3" t="str">
        <f t="shared" si="15"/>
        <v/>
      </c>
      <c r="B186" s="11"/>
      <c r="C186" s="5" t="str">
        <f>IF(B186="","",IFERROR(INDEX(코드목록!$C$2:$C$20,MATCH(LEFT(B186,1),코드목록!$B$2:$B$20,0)),"?"))</f>
        <v/>
      </c>
      <c r="D186" s="11"/>
      <c r="E186" s="11"/>
      <c r="F186" s="5" t="str">
        <f>IF(E186="","",IFERROR(INDEX(칩코드!$C$5:$C$60,MATCH(E186,칩코드!$A$5:$A$60,0)),"?"))</f>
        <v/>
      </c>
      <c r="G186" s="12"/>
      <c r="H186" s="11"/>
      <c r="I186" s="11"/>
      <c r="J186" s="11"/>
      <c r="K186" s="11"/>
      <c r="L186" s="12"/>
      <c r="M186" s="12"/>
      <c r="N186" s="11"/>
      <c r="O186" s="12"/>
      <c r="P186" s="12"/>
      <c r="Q186" s="12"/>
      <c r="R186" s="5" t="str">
        <f t="shared" si="16"/>
        <v/>
      </c>
      <c r="S186" s="5" t="str">
        <f t="shared" si="17"/>
        <v/>
      </c>
      <c r="T186" s="3" t="str">
        <f>IF(B186="","",IF(LEN(B186)&lt;&gt;3,"3자리 아님",IF(SUMPRODUCT(--ISERROR(FIND(MID(B186,{1,2,3},1),"ABCDEFGHIJKLMNOPQRSTUVWXYZ0123456789")))&gt;0,"문자 오류",IF(COUNTIF(코드목록!$B$2:$B$20,LEFT(B186,1))=0,"구분 오류",IF(AND(LEFT(B186,1)="M",RIGHT(B186,1)&lt;&gt;"0"),"모듈 리비전은 0",IF(AND(LEFT(B186,1)&lt;&gt;"M",RIGHT(B186,1)="0"),"리비전은 1부터",IF(COUNTIF($B$5:$B$200,B186)&gt;1,"중복","OK")))))))</f>
        <v/>
      </c>
      <c r="U186" s="3" t="str">
        <f>IF(B186="","",IF(COUNTIF(칩코드!$A$5:$A$60,E186)=0,"칩 미등록",IF(AND(OR(LEFT(B186,1)="C",LEFT(B186,1)="D"),I186=""),"고객 코드 필요",IF(AND(I186&lt;&gt;"",COUNTIF(고객코드!$A$5:$A$200,I186)=0),"고객 미등록",IF(AND(N186&lt;&gt;"",COUNTIF(고객코드!$A$5:$A$200,LEFT(N186,2))=0),"기본값 미등록",IF(AND(H186&lt;&gt;"",COUNTIF($B$5:$B$200,H186)=0),"이전 코드 없음","OK"))))))</f>
        <v/>
      </c>
    </row>
    <row r="187" spans="1:21" x14ac:dyDescent="0.3">
      <c r="A187" s="3" t="str">
        <f t="shared" si="15"/>
        <v/>
      </c>
      <c r="B187" s="11"/>
      <c r="C187" s="5" t="str">
        <f>IF(B187="","",IFERROR(INDEX(코드목록!$C$2:$C$20,MATCH(LEFT(B187,1),코드목록!$B$2:$B$20,0)),"?"))</f>
        <v/>
      </c>
      <c r="D187" s="11"/>
      <c r="E187" s="11"/>
      <c r="F187" s="5" t="str">
        <f>IF(E187="","",IFERROR(INDEX(칩코드!$C$5:$C$60,MATCH(E187,칩코드!$A$5:$A$60,0)),"?"))</f>
        <v/>
      </c>
      <c r="G187" s="12"/>
      <c r="H187" s="11"/>
      <c r="I187" s="11"/>
      <c r="J187" s="11"/>
      <c r="K187" s="11"/>
      <c r="L187" s="12"/>
      <c r="M187" s="12"/>
      <c r="N187" s="11"/>
      <c r="O187" s="12"/>
      <c r="P187" s="12"/>
      <c r="Q187" s="12"/>
      <c r="R187" s="5" t="str">
        <f t="shared" si="16"/>
        <v/>
      </c>
      <c r="S187" s="5" t="str">
        <f t="shared" si="17"/>
        <v/>
      </c>
      <c r="T187" s="3" t="str">
        <f>IF(B187="","",IF(LEN(B187)&lt;&gt;3,"3자리 아님",IF(SUMPRODUCT(--ISERROR(FIND(MID(B187,{1,2,3},1),"ABCDEFGHIJKLMNOPQRSTUVWXYZ0123456789")))&gt;0,"문자 오류",IF(COUNTIF(코드목록!$B$2:$B$20,LEFT(B187,1))=0,"구분 오류",IF(AND(LEFT(B187,1)="M",RIGHT(B187,1)&lt;&gt;"0"),"모듈 리비전은 0",IF(AND(LEFT(B187,1)&lt;&gt;"M",RIGHT(B187,1)="0"),"리비전은 1부터",IF(COUNTIF($B$5:$B$200,B187)&gt;1,"중복","OK")))))))</f>
        <v/>
      </c>
      <c r="U187" s="3" t="str">
        <f>IF(B187="","",IF(COUNTIF(칩코드!$A$5:$A$60,E187)=0,"칩 미등록",IF(AND(OR(LEFT(B187,1)="C",LEFT(B187,1)="D"),I187=""),"고객 코드 필요",IF(AND(I187&lt;&gt;"",COUNTIF(고객코드!$A$5:$A$200,I187)=0),"고객 미등록",IF(AND(N187&lt;&gt;"",COUNTIF(고객코드!$A$5:$A$200,LEFT(N187,2))=0),"기본값 미등록",IF(AND(H187&lt;&gt;"",COUNTIF($B$5:$B$200,H187)=0),"이전 코드 없음","OK"))))))</f>
        <v/>
      </c>
    </row>
    <row r="188" spans="1:21" x14ac:dyDescent="0.3">
      <c r="A188" s="3" t="str">
        <f t="shared" si="15"/>
        <v/>
      </c>
      <c r="B188" s="11"/>
      <c r="C188" s="5" t="str">
        <f>IF(B188="","",IFERROR(INDEX(코드목록!$C$2:$C$20,MATCH(LEFT(B188,1),코드목록!$B$2:$B$20,0)),"?"))</f>
        <v/>
      </c>
      <c r="D188" s="11"/>
      <c r="E188" s="11"/>
      <c r="F188" s="5" t="str">
        <f>IF(E188="","",IFERROR(INDEX(칩코드!$C$5:$C$60,MATCH(E188,칩코드!$A$5:$A$60,0)),"?"))</f>
        <v/>
      </c>
      <c r="G188" s="12"/>
      <c r="H188" s="11"/>
      <c r="I188" s="11"/>
      <c r="J188" s="11"/>
      <c r="K188" s="11"/>
      <c r="L188" s="12"/>
      <c r="M188" s="12"/>
      <c r="N188" s="11"/>
      <c r="O188" s="12"/>
      <c r="P188" s="12"/>
      <c r="Q188" s="12"/>
      <c r="R188" s="5" t="str">
        <f t="shared" si="16"/>
        <v/>
      </c>
      <c r="S188" s="5" t="str">
        <f t="shared" si="17"/>
        <v/>
      </c>
      <c r="T188" s="3" t="str">
        <f>IF(B188="","",IF(LEN(B188)&lt;&gt;3,"3자리 아님",IF(SUMPRODUCT(--ISERROR(FIND(MID(B188,{1,2,3},1),"ABCDEFGHIJKLMNOPQRSTUVWXYZ0123456789")))&gt;0,"문자 오류",IF(COUNTIF(코드목록!$B$2:$B$20,LEFT(B188,1))=0,"구분 오류",IF(AND(LEFT(B188,1)="M",RIGHT(B188,1)&lt;&gt;"0"),"모듈 리비전은 0",IF(AND(LEFT(B188,1)&lt;&gt;"M",RIGHT(B188,1)="0"),"리비전은 1부터",IF(COUNTIF($B$5:$B$200,B188)&gt;1,"중복","OK")))))))</f>
        <v/>
      </c>
      <c r="U188" s="3" t="str">
        <f>IF(B188="","",IF(COUNTIF(칩코드!$A$5:$A$60,E188)=0,"칩 미등록",IF(AND(OR(LEFT(B188,1)="C",LEFT(B188,1)="D"),I188=""),"고객 코드 필요",IF(AND(I188&lt;&gt;"",COUNTIF(고객코드!$A$5:$A$200,I188)=0),"고객 미등록",IF(AND(N188&lt;&gt;"",COUNTIF(고객코드!$A$5:$A$200,LEFT(N188,2))=0),"기본값 미등록",IF(AND(H188&lt;&gt;"",COUNTIF($B$5:$B$200,H188)=0),"이전 코드 없음","OK"))))))</f>
        <v/>
      </c>
    </row>
    <row r="189" spans="1:21" x14ac:dyDescent="0.3">
      <c r="A189" s="3" t="str">
        <f t="shared" si="15"/>
        <v/>
      </c>
      <c r="B189" s="11"/>
      <c r="C189" s="5" t="str">
        <f>IF(B189="","",IFERROR(INDEX(코드목록!$C$2:$C$20,MATCH(LEFT(B189,1),코드목록!$B$2:$B$20,0)),"?"))</f>
        <v/>
      </c>
      <c r="D189" s="11"/>
      <c r="E189" s="11"/>
      <c r="F189" s="5" t="str">
        <f>IF(E189="","",IFERROR(INDEX(칩코드!$C$5:$C$60,MATCH(E189,칩코드!$A$5:$A$60,0)),"?"))</f>
        <v/>
      </c>
      <c r="G189" s="12"/>
      <c r="H189" s="11"/>
      <c r="I189" s="11"/>
      <c r="J189" s="11"/>
      <c r="K189" s="11"/>
      <c r="L189" s="12"/>
      <c r="M189" s="12"/>
      <c r="N189" s="11"/>
      <c r="O189" s="12"/>
      <c r="P189" s="12"/>
      <c r="Q189" s="12"/>
      <c r="R189" s="5" t="str">
        <f t="shared" si="16"/>
        <v/>
      </c>
      <c r="S189" s="5" t="str">
        <f t="shared" si="17"/>
        <v/>
      </c>
      <c r="T189" s="3" t="str">
        <f>IF(B189="","",IF(LEN(B189)&lt;&gt;3,"3자리 아님",IF(SUMPRODUCT(--ISERROR(FIND(MID(B189,{1,2,3},1),"ABCDEFGHIJKLMNOPQRSTUVWXYZ0123456789")))&gt;0,"문자 오류",IF(COUNTIF(코드목록!$B$2:$B$20,LEFT(B189,1))=0,"구분 오류",IF(AND(LEFT(B189,1)="M",RIGHT(B189,1)&lt;&gt;"0"),"모듈 리비전은 0",IF(AND(LEFT(B189,1)&lt;&gt;"M",RIGHT(B189,1)="0"),"리비전은 1부터",IF(COUNTIF($B$5:$B$200,B189)&gt;1,"중복","OK")))))))</f>
        <v/>
      </c>
      <c r="U189" s="3" t="str">
        <f>IF(B189="","",IF(COUNTIF(칩코드!$A$5:$A$60,E189)=0,"칩 미등록",IF(AND(OR(LEFT(B189,1)="C",LEFT(B189,1)="D"),I189=""),"고객 코드 필요",IF(AND(I189&lt;&gt;"",COUNTIF(고객코드!$A$5:$A$200,I189)=0),"고객 미등록",IF(AND(N189&lt;&gt;"",COUNTIF(고객코드!$A$5:$A$200,LEFT(N189,2))=0),"기본값 미등록",IF(AND(H189&lt;&gt;"",COUNTIF($B$5:$B$200,H189)=0),"이전 코드 없음","OK"))))))</f>
        <v/>
      </c>
    </row>
    <row r="190" spans="1:21" x14ac:dyDescent="0.3">
      <c r="A190" s="3" t="str">
        <f t="shared" si="15"/>
        <v/>
      </c>
      <c r="B190" s="11"/>
      <c r="C190" s="5" t="str">
        <f>IF(B190="","",IFERROR(INDEX(코드목록!$C$2:$C$20,MATCH(LEFT(B190,1),코드목록!$B$2:$B$20,0)),"?"))</f>
        <v/>
      </c>
      <c r="D190" s="11"/>
      <c r="E190" s="11"/>
      <c r="F190" s="5" t="str">
        <f>IF(E190="","",IFERROR(INDEX(칩코드!$C$5:$C$60,MATCH(E190,칩코드!$A$5:$A$60,0)),"?"))</f>
        <v/>
      </c>
      <c r="G190" s="12"/>
      <c r="H190" s="11"/>
      <c r="I190" s="11"/>
      <c r="J190" s="11"/>
      <c r="K190" s="11"/>
      <c r="L190" s="12"/>
      <c r="M190" s="12"/>
      <c r="N190" s="11"/>
      <c r="O190" s="12"/>
      <c r="P190" s="12"/>
      <c r="Q190" s="12"/>
      <c r="R190" s="5" t="str">
        <f t="shared" si="16"/>
        <v/>
      </c>
      <c r="S190" s="5" t="str">
        <f t="shared" si="17"/>
        <v/>
      </c>
      <c r="T190" s="3" t="str">
        <f>IF(B190="","",IF(LEN(B190)&lt;&gt;3,"3자리 아님",IF(SUMPRODUCT(--ISERROR(FIND(MID(B190,{1,2,3},1),"ABCDEFGHIJKLMNOPQRSTUVWXYZ0123456789")))&gt;0,"문자 오류",IF(COUNTIF(코드목록!$B$2:$B$20,LEFT(B190,1))=0,"구분 오류",IF(AND(LEFT(B190,1)="M",RIGHT(B190,1)&lt;&gt;"0"),"모듈 리비전은 0",IF(AND(LEFT(B190,1)&lt;&gt;"M",RIGHT(B190,1)="0"),"리비전은 1부터",IF(COUNTIF($B$5:$B$200,B190)&gt;1,"중복","OK")))))))</f>
        <v/>
      </c>
      <c r="U190" s="3" t="str">
        <f>IF(B190="","",IF(COUNTIF(칩코드!$A$5:$A$60,E190)=0,"칩 미등록",IF(AND(OR(LEFT(B190,1)="C",LEFT(B190,1)="D"),I190=""),"고객 코드 필요",IF(AND(I190&lt;&gt;"",COUNTIF(고객코드!$A$5:$A$200,I190)=0),"고객 미등록",IF(AND(N190&lt;&gt;"",COUNTIF(고객코드!$A$5:$A$200,LEFT(N190,2))=0),"기본값 미등록",IF(AND(H190&lt;&gt;"",COUNTIF($B$5:$B$200,H190)=0),"이전 코드 없음","OK"))))))</f>
        <v/>
      </c>
    </row>
    <row r="191" spans="1:21" x14ac:dyDescent="0.3">
      <c r="A191" s="3" t="str">
        <f t="shared" si="15"/>
        <v/>
      </c>
      <c r="B191" s="11"/>
      <c r="C191" s="5" t="str">
        <f>IF(B191="","",IFERROR(INDEX(코드목록!$C$2:$C$20,MATCH(LEFT(B191,1),코드목록!$B$2:$B$20,0)),"?"))</f>
        <v/>
      </c>
      <c r="D191" s="11"/>
      <c r="E191" s="11"/>
      <c r="F191" s="5" t="str">
        <f>IF(E191="","",IFERROR(INDEX(칩코드!$C$5:$C$60,MATCH(E191,칩코드!$A$5:$A$60,0)),"?"))</f>
        <v/>
      </c>
      <c r="G191" s="12"/>
      <c r="H191" s="11"/>
      <c r="I191" s="11"/>
      <c r="J191" s="11"/>
      <c r="K191" s="11"/>
      <c r="L191" s="12"/>
      <c r="M191" s="12"/>
      <c r="N191" s="11"/>
      <c r="O191" s="12"/>
      <c r="P191" s="12"/>
      <c r="Q191" s="12"/>
      <c r="R191" s="5" t="str">
        <f t="shared" si="16"/>
        <v/>
      </c>
      <c r="S191" s="5" t="str">
        <f t="shared" si="17"/>
        <v/>
      </c>
      <c r="T191" s="3" t="str">
        <f>IF(B191="","",IF(LEN(B191)&lt;&gt;3,"3자리 아님",IF(SUMPRODUCT(--ISERROR(FIND(MID(B191,{1,2,3},1),"ABCDEFGHIJKLMNOPQRSTUVWXYZ0123456789")))&gt;0,"문자 오류",IF(COUNTIF(코드목록!$B$2:$B$20,LEFT(B191,1))=0,"구분 오류",IF(AND(LEFT(B191,1)="M",RIGHT(B191,1)&lt;&gt;"0"),"모듈 리비전은 0",IF(AND(LEFT(B191,1)&lt;&gt;"M",RIGHT(B191,1)="0"),"리비전은 1부터",IF(COUNTIF($B$5:$B$200,B191)&gt;1,"중복","OK")))))))</f>
        <v/>
      </c>
      <c r="U191" s="3" t="str">
        <f>IF(B191="","",IF(COUNTIF(칩코드!$A$5:$A$60,E191)=0,"칩 미등록",IF(AND(OR(LEFT(B191,1)="C",LEFT(B191,1)="D"),I191=""),"고객 코드 필요",IF(AND(I191&lt;&gt;"",COUNTIF(고객코드!$A$5:$A$200,I191)=0),"고객 미등록",IF(AND(N191&lt;&gt;"",COUNTIF(고객코드!$A$5:$A$200,LEFT(N191,2))=0),"기본값 미등록",IF(AND(H191&lt;&gt;"",COUNTIF($B$5:$B$200,H191)=0),"이전 코드 없음","OK"))))))</f>
        <v/>
      </c>
    </row>
    <row r="192" spans="1:21" x14ac:dyDescent="0.3">
      <c r="A192" s="3" t="str">
        <f t="shared" si="15"/>
        <v/>
      </c>
      <c r="B192" s="11"/>
      <c r="C192" s="5" t="str">
        <f>IF(B192="","",IFERROR(INDEX(코드목록!$C$2:$C$20,MATCH(LEFT(B192,1),코드목록!$B$2:$B$20,0)),"?"))</f>
        <v/>
      </c>
      <c r="D192" s="11"/>
      <c r="E192" s="11"/>
      <c r="F192" s="5" t="str">
        <f>IF(E192="","",IFERROR(INDEX(칩코드!$C$5:$C$60,MATCH(E192,칩코드!$A$5:$A$60,0)),"?"))</f>
        <v/>
      </c>
      <c r="G192" s="12"/>
      <c r="H192" s="11"/>
      <c r="I192" s="11"/>
      <c r="J192" s="11"/>
      <c r="K192" s="11"/>
      <c r="L192" s="12"/>
      <c r="M192" s="12"/>
      <c r="N192" s="11"/>
      <c r="O192" s="12"/>
      <c r="P192" s="12"/>
      <c r="Q192" s="12"/>
      <c r="R192" s="5" t="str">
        <f t="shared" si="16"/>
        <v/>
      </c>
      <c r="S192" s="5" t="str">
        <f t="shared" si="17"/>
        <v/>
      </c>
      <c r="T192" s="3" t="str">
        <f>IF(B192="","",IF(LEN(B192)&lt;&gt;3,"3자리 아님",IF(SUMPRODUCT(--ISERROR(FIND(MID(B192,{1,2,3},1),"ABCDEFGHIJKLMNOPQRSTUVWXYZ0123456789")))&gt;0,"문자 오류",IF(COUNTIF(코드목록!$B$2:$B$20,LEFT(B192,1))=0,"구분 오류",IF(AND(LEFT(B192,1)="M",RIGHT(B192,1)&lt;&gt;"0"),"모듈 리비전은 0",IF(AND(LEFT(B192,1)&lt;&gt;"M",RIGHT(B192,1)="0"),"리비전은 1부터",IF(COUNTIF($B$5:$B$200,B192)&gt;1,"중복","OK")))))))</f>
        <v/>
      </c>
      <c r="U192" s="3" t="str">
        <f>IF(B192="","",IF(COUNTIF(칩코드!$A$5:$A$60,E192)=0,"칩 미등록",IF(AND(OR(LEFT(B192,1)="C",LEFT(B192,1)="D"),I192=""),"고객 코드 필요",IF(AND(I192&lt;&gt;"",COUNTIF(고객코드!$A$5:$A$200,I192)=0),"고객 미등록",IF(AND(N192&lt;&gt;"",COUNTIF(고객코드!$A$5:$A$200,LEFT(N192,2))=0),"기본값 미등록",IF(AND(H192&lt;&gt;"",COUNTIF($B$5:$B$200,H192)=0),"이전 코드 없음","OK"))))))</f>
        <v/>
      </c>
    </row>
    <row r="193" spans="1:21" x14ac:dyDescent="0.3">
      <c r="A193" s="3" t="str">
        <f t="shared" si="15"/>
        <v/>
      </c>
      <c r="B193" s="11"/>
      <c r="C193" s="5" t="str">
        <f>IF(B193="","",IFERROR(INDEX(코드목록!$C$2:$C$20,MATCH(LEFT(B193,1),코드목록!$B$2:$B$20,0)),"?"))</f>
        <v/>
      </c>
      <c r="D193" s="11"/>
      <c r="E193" s="11"/>
      <c r="F193" s="5" t="str">
        <f>IF(E193="","",IFERROR(INDEX(칩코드!$C$5:$C$60,MATCH(E193,칩코드!$A$5:$A$60,0)),"?"))</f>
        <v/>
      </c>
      <c r="G193" s="12"/>
      <c r="H193" s="11"/>
      <c r="I193" s="11"/>
      <c r="J193" s="11"/>
      <c r="K193" s="11"/>
      <c r="L193" s="12"/>
      <c r="M193" s="12"/>
      <c r="N193" s="11"/>
      <c r="O193" s="12"/>
      <c r="P193" s="12"/>
      <c r="Q193" s="12"/>
      <c r="R193" s="5" t="str">
        <f t="shared" si="16"/>
        <v/>
      </c>
      <c r="S193" s="5" t="str">
        <f t="shared" si="17"/>
        <v/>
      </c>
      <c r="T193" s="3" t="str">
        <f>IF(B193="","",IF(LEN(B193)&lt;&gt;3,"3자리 아님",IF(SUMPRODUCT(--ISERROR(FIND(MID(B193,{1,2,3},1),"ABCDEFGHIJKLMNOPQRSTUVWXYZ0123456789")))&gt;0,"문자 오류",IF(COUNTIF(코드목록!$B$2:$B$20,LEFT(B193,1))=0,"구분 오류",IF(AND(LEFT(B193,1)="M",RIGHT(B193,1)&lt;&gt;"0"),"모듈 리비전은 0",IF(AND(LEFT(B193,1)&lt;&gt;"M",RIGHT(B193,1)="0"),"리비전은 1부터",IF(COUNTIF($B$5:$B$200,B193)&gt;1,"중복","OK")))))))</f>
        <v/>
      </c>
      <c r="U193" s="3" t="str">
        <f>IF(B193="","",IF(COUNTIF(칩코드!$A$5:$A$60,E193)=0,"칩 미등록",IF(AND(OR(LEFT(B193,1)="C",LEFT(B193,1)="D"),I193=""),"고객 코드 필요",IF(AND(I193&lt;&gt;"",COUNTIF(고객코드!$A$5:$A$200,I193)=0),"고객 미등록",IF(AND(N193&lt;&gt;"",COUNTIF(고객코드!$A$5:$A$200,LEFT(N193,2))=0),"기본값 미등록",IF(AND(H193&lt;&gt;"",COUNTIF($B$5:$B$200,H193)=0),"이전 코드 없음","OK"))))))</f>
        <v/>
      </c>
    </row>
    <row r="194" spans="1:21" x14ac:dyDescent="0.3">
      <c r="A194" s="3" t="str">
        <f t="shared" si="15"/>
        <v/>
      </c>
      <c r="B194" s="11"/>
      <c r="C194" s="5" t="str">
        <f>IF(B194="","",IFERROR(INDEX(코드목록!$C$2:$C$20,MATCH(LEFT(B194,1),코드목록!$B$2:$B$20,0)),"?"))</f>
        <v/>
      </c>
      <c r="D194" s="11"/>
      <c r="E194" s="11"/>
      <c r="F194" s="5" t="str">
        <f>IF(E194="","",IFERROR(INDEX(칩코드!$C$5:$C$60,MATCH(E194,칩코드!$A$5:$A$60,0)),"?"))</f>
        <v/>
      </c>
      <c r="G194" s="12"/>
      <c r="H194" s="11"/>
      <c r="I194" s="11"/>
      <c r="J194" s="11"/>
      <c r="K194" s="11"/>
      <c r="L194" s="12"/>
      <c r="M194" s="12"/>
      <c r="N194" s="11"/>
      <c r="O194" s="12"/>
      <c r="P194" s="12"/>
      <c r="Q194" s="12"/>
      <c r="R194" s="5" t="str">
        <f t="shared" si="16"/>
        <v/>
      </c>
      <c r="S194" s="5" t="str">
        <f t="shared" si="17"/>
        <v/>
      </c>
      <c r="T194" s="3" t="str">
        <f>IF(B194="","",IF(LEN(B194)&lt;&gt;3,"3자리 아님",IF(SUMPRODUCT(--ISERROR(FIND(MID(B194,{1,2,3},1),"ABCDEFGHIJKLMNOPQRSTUVWXYZ0123456789")))&gt;0,"문자 오류",IF(COUNTIF(코드목록!$B$2:$B$20,LEFT(B194,1))=0,"구분 오류",IF(AND(LEFT(B194,1)="M",RIGHT(B194,1)&lt;&gt;"0"),"모듈 리비전은 0",IF(AND(LEFT(B194,1)&lt;&gt;"M",RIGHT(B194,1)="0"),"리비전은 1부터",IF(COUNTIF($B$5:$B$200,B194)&gt;1,"중복","OK")))))))</f>
        <v/>
      </c>
      <c r="U194" s="3" t="str">
        <f>IF(B194="","",IF(COUNTIF(칩코드!$A$5:$A$60,E194)=0,"칩 미등록",IF(AND(OR(LEFT(B194,1)="C",LEFT(B194,1)="D"),I194=""),"고객 코드 필요",IF(AND(I194&lt;&gt;"",COUNTIF(고객코드!$A$5:$A$200,I194)=0),"고객 미등록",IF(AND(N194&lt;&gt;"",COUNTIF(고객코드!$A$5:$A$200,LEFT(N194,2))=0),"기본값 미등록",IF(AND(H194&lt;&gt;"",COUNTIF($B$5:$B$200,H194)=0),"이전 코드 없음","OK"))))))</f>
        <v/>
      </c>
    </row>
    <row r="195" spans="1:21" x14ac:dyDescent="0.3">
      <c r="A195" s="3" t="str">
        <f t="shared" si="15"/>
        <v/>
      </c>
      <c r="B195" s="11"/>
      <c r="C195" s="5" t="str">
        <f>IF(B195="","",IFERROR(INDEX(코드목록!$C$2:$C$20,MATCH(LEFT(B195,1),코드목록!$B$2:$B$20,0)),"?"))</f>
        <v/>
      </c>
      <c r="D195" s="11"/>
      <c r="E195" s="11"/>
      <c r="F195" s="5" t="str">
        <f>IF(E195="","",IFERROR(INDEX(칩코드!$C$5:$C$60,MATCH(E195,칩코드!$A$5:$A$60,0)),"?"))</f>
        <v/>
      </c>
      <c r="G195" s="12"/>
      <c r="H195" s="11"/>
      <c r="I195" s="11"/>
      <c r="J195" s="11"/>
      <c r="K195" s="11"/>
      <c r="L195" s="12"/>
      <c r="M195" s="12"/>
      <c r="N195" s="11"/>
      <c r="O195" s="12"/>
      <c r="P195" s="12"/>
      <c r="Q195" s="12"/>
      <c r="R195" s="5" t="str">
        <f t="shared" si="16"/>
        <v/>
      </c>
      <c r="S195" s="5" t="str">
        <f t="shared" si="17"/>
        <v/>
      </c>
      <c r="T195" s="3" t="str">
        <f>IF(B195="","",IF(LEN(B195)&lt;&gt;3,"3자리 아님",IF(SUMPRODUCT(--ISERROR(FIND(MID(B195,{1,2,3},1),"ABCDEFGHIJKLMNOPQRSTUVWXYZ0123456789")))&gt;0,"문자 오류",IF(COUNTIF(코드목록!$B$2:$B$20,LEFT(B195,1))=0,"구분 오류",IF(AND(LEFT(B195,1)="M",RIGHT(B195,1)&lt;&gt;"0"),"모듈 리비전은 0",IF(AND(LEFT(B195,1)&lt;&gt;"M",RIGHT(B195,1)="0"),"리비전은 1부터",IF(COUNTIF($B$5:$B$200,B195)&gt;1,"중복","OK")))))))</f>
        <v/>
      </c>
      <c r="U195" s="3" t="str">
        <f>IF(B195="","",IF(COUNTIF(칩코드!$A$5:$A$60,E195)=0,"칩 미등록",IF(AND(OR(LEFT(B195,1)="C",LEFT(B195,1)="D"),I195=""),"고객 코드 필요",IF(AND(I195&lt;&gt;"",COUNTIF(고객코드!$A$5:$A$200,I195)=0),"고객 미등록",IF(AND(N195&lt;&gt;"",COUNTIF(고객코드!$A$5:$A$200,LEFT(N195,2))=0),"기본값 미등록",IF(AND(H195&lt;&gt;"",COUNTIF($B$5:$B$200,H195)=0),"이전 코드 없음","OK"))))))</f>
        <v/>
      </c>
    </row>
    <row r="196" spans="1:21" x14ac:dyDescent="0.3">
      <c r="A196" s="3" t="str">
        <f t="shared" si="15"/>
        <v/>
      </c>
      <c r="B196" s="11"/>
      <c r="C196" s="5" t="str">
        <f>IF(B196="","",IFERROR(INDEX(코드목록!$C$2:$C$20,MATCH(LEFT(B196,1),코드목록!$B$2:$B$20,0)),"?"))</f>
        <v/>
      </c>
      <c r="D196" s="11"/>
      <c r="E196" s="11"/>
      <c r="F196" s="5" t="str">
        <f>IF(E196="","",IFERROR(INDEX(칩코드!$C$5:$C$60,MATCH(E196,칩코드!$A$5:$A$60,0)),"?"))</f>
        <v/>
      </c>
      <c r="G196" s="12"/>
      <c r="H196" s="11"/>
      <c r="I196" s="11"/>
      <c r="J196" s="11"/>
      <c r="K196" s="11"/>
      <c r="L196" s="12"/>
      <c r="M196" s="12"/>
      <c r="N196" s="11"/>
      <c r="O196" s="12"/>
      <c r="P196" s="12"/>
      <c r="Q196" s="12"/>
      <c r="R196" s="5" t="str">
        <f t="shared" si="16"/>
        <v/>
      </c>
      <c r="S196" s="5" t="str">
        <f t="shared" si="17"/>
        <v/>
      </c>
      <c r="T196" s="3" t="str">
        <f>IF(B196="","",IF(LEN(B196)&lt;&gt;3,"3자리 아님",IF(SUMPRODUCT(--ISERROR(FIND(MID(B196,{1,2,3},1),"ABCDEFGHIJKLMNOPQRSTUVWXYZ0123456789")))&gt;0,"문자 오류",IF(COUNTIF(코드목록!$B$2:$B$20,LEFT(B196,1))=0,"구분 오류",IF(AND(LEFT(B196,1)="M",RIGHT(B196,1)&lt;&gt;"0"),"모듈 리비전은 0",IF(AND(LEFT(B196,1)&lt;&gt;"M",RIGHT(B196,1)="0"),"리비전은 1부터",IF(COUNTIF($B$5:$B$200,B196)&gt;1,"중복","OK")))))))</f>
        <v/>
      </c>
      <c r="U196" s="3" t="str">
        <f>IF(B196="","",IF(COUNTIF(칩코드!$A$5:$A$60,E196)=0,"칩 미등록",IF(AND(OR(LEFT(B196,1)="C",LEFT(B196,1)="D"),I196=""),"고객 코드 필요",IF(AND(I196&lt;&gt;"",COUNTIF(고객코드!$A$5:$A$200,I196)=0),"고객 미등록",IF(AND(N196&lt;&gt;"",COUNTIF(고객코드!$A$5:$A$200,LEFT(N196,2))=0),"기본값 미등록",IF(AND(H196&lt;&gt;"",COUNTIF($B$5:$B$200,H196)=0),"이전 코드 없음","OK"))))))</f>
        <v/>
      </c>
    </row>
    <row r="197" spans="1:21" x14ac:dyDescent="0.3">
      <c r="A197" s="3" t="str">
        <f t="shared" ref="A197:A228" si="18">IF(B197="","",ROW()-4)</f>
        <v/>
      </c>
      <c r="B197" s="11"/>
      <c r="C197" s="5" t="str">
        <f>IF(B197="","",IFERROR(INDEX(코드목록!$C$2:$C$20,MATCH(LEFT(B197,1),코드목록!$B$2:$B$20,0)),"?"))</f>
        <v/>
      </c>
      <c r="D197" s="11"/>
      <c r="E197" s="11"/>
      <c r="F197" s="5" t="str">
        <f>IF(E197="","",IFERROR(INDEX(칩코드!$C$5:$C$60,MATCH(E197,칩코드!$A$5:$A$60,0)),"?"))</f>
        <v/>
      </c>
      <c r="G197" s="12"/>
      <c r="H197" s="11"/>
      <c r="I197" s="11"/>
      <c r="J197" s="11"/>
      <c r="K197" s="11"/>
      <c r="L197" s="12"/>
      <c r="M197" s="12"/>
      <c r="N197" s="11"/>
      <c r="O197" s="12"/>
      <c r="P197" s="12"/>
      <c r="Q197" s="12"/>
      <c r="R197" s="5" t="str">
        <f t="shared" si="16"/>
        <v/>
      </c>
      <c r="S197" s="5" t="str">
        <f t="shared" ref="S197:S228" si="19">IF(R197="","","M2M_"&amp;R197&amp;"_AT-MM-"&amp;IF(M197="","UART",M197)&amp;"_V01.00_"&amp;IF(N197="","AC0",N197)&amp;"_0FN_YYMMDD.zip")</f>
        <v/>
      </c>
      <c r="T197" s="3" t="str">
        <f>IF(B197="","",IF(LEN(B197)&lt;&gt;3,"3자리 아님",IF(SUMPRODUCT(--ISERROR(FIND(MID(B197,{1,2,3},1),"ABCDEFGHIJKLMNOPQRSTUVWXYZ0123456789")))&gt;0,"문자 오류",IF(COUNTIF(코드목록!$B$2:$B$20,LEFT(B197,1))=0,"구분 오류",IF(AND(LEFT(B197,1)="M",RIGHT(B197,1)&lt;&gt;"0"),"모듈 리비전은 0",IF(AND(LEFT(B197,1)&lt;&gt;"M",RIGHT(B197,1)="0"),"리비전은 1부터",IF(COUNTIF($B$5:$B$200,B197)&gt;1,"중복","OK")))))))</f>
        <v/>
      </c>
      <c r="U197" s="3" t="str">
        <f>IF(B197="","",IF(COUNTIF(칩코드!$A$5:$A$60,E197)=0,"칩 미등록",IF(AND(OR(LEFT(B197,1)="C",LEFT(B197,1)="D"),I197=""),"고객 코드 필요",IF(AND(I197&lt;&gt;"",COUNTIF(고객코드!$A$5:$A$200,I197)=0),"고객 미등록",IF(AND(N197&lt;&gt;"",COUNTIF(고객코드!$A$5:$A$200,LEFT(N197,2))=0),"기본값 미등록",IF(AND(H197&lt;&gt;"",COUNTIF($B$5:$B$200,H197)=0),"이전 코드 없음","OK"))))))</f>
        <v/>
      </c>
    </row>
    <row r="198" spans="1:21" x14ac:dyDescent="0.3">
      <c r="A198" s="3" t="str">
        <f t="shared" si="18"/>
        <v/>
      </c>
      <c r="B198" s="11"/>
      <c r="C198" s="5" t="str">
        <f>IF(B198="","",IFERROR(INDEX(코드목록!$C$2:$C$20,MATCH(LEFT(B198,1),코드목록!$B$2:$B$20,0)),"?"))</f>
        <v/>
      </c>
      <c r="D198" s="11"/>
      <c r="E198" s="11"/>
      <c r="F198" s="5" t="str">
        <f>IF(E198="","",IFERROR(INDEX(칩코드!$C$5:$C$60,MATCH(E198,칩코드!$A$5:$A$60,0)),"?"))</f>
        <v/>
      </c>
      <c r="G198" s="12"/>
      <c r="H198" s="11"/>
      <c r="I198" s="11"/>
      <c r="J198" s="11"/>
      <c r="K198" s="11"/>
      <c r="L198" s="12"/>
      <c r="M198" s="12"/>
      <c r="N198" s="11"/>
      <c r="O198" s="12"/>
      <c r="P198" s="12"/>
      <c r="Q198" s="12"/>
      <c r="R198" s="5" t="str">
        <f t="shared" si="16"/>
        <v/>
      </c>
      <c r="S198" s="5" t="str">
        <f t="shared" si="19"/>
        <v/>
      </c>
      <c r="T198" s="3" t="str">
        <f>IF(B198="","",IF(LEN(B198)&lt;&gt;3,"3자리 아님",IF(SUMPRODUCT(--ISERROR(FIND(MID(B198,{1,2,3},1),"ABCDEFGHIJKLMNOPQRSTUVWXYZ0123456789")))&gt;0,"문자 오류",IF(COUNTIF(코드목록!$B$2:$B$20,LEFT(B198,1))=0,"구분 오류",IF(AND(LEFT(B198,1)="M",RIGHT(B198,1)&lt;&gt;"0"),"모듈 리비전은 0",IF(AND(LEFT(B198,1)&lt;&gt;"M",RIGHT(B198,1)="0"),"리비전은 1부터",IF(COUNTIF($B$5:$B$200,B198)&gt;1,"중복","OK")))))))</f>
        <v/>
      </c>
      <c r="U198" s="3" t="str">
        <f>IF(B198="","",IF(COUNTIF(칩코드!$A$5:$A$60,E198)=0,"칩 미등록",IF(AND(OR(LEFT(B198,1)="C",LEFT(B198,1)="D"),I198=""),"고객 코드 필요",IF(AND(I198&lt;&gt;"",COUNTIF(고객코드!$A$5:$A$200,I198)=0),"고객 미등록",IF(AND(N198&lt;&gt;"",COUNTIF(고객코드!$A$5:$A$200,LEFT(N198,2))=0),"기본값 미등록",IF(AND(H198&lt;&gt;"",COUNTIF($B$5:$B$200,H198)=0),"이전 코드 없음","OK"))))))</f>
        <v/>
      </c>
    </row>
    <row r="199" spans="1:21" x14ac:dyDescent="0.3">
      <c r="A199" s="3" t="str">
        <f t="shared" si="18"/>
        <v/>
      </c>
      <c r="B199" s="11"/>
      <c r="C199" s="5" t="str">
        <f>IF(B199="","",IFERROR(INDEX(코드목록!$C$2:$C$20,MATCH(LEFT(B199,1),코드목록!$B$2:$B$20,0)),"?"))</f>
        <v/>
      </c>
      <c r="D199" s="11"/>
      <c r="E199" s="11"/>
      <c r="F199" s="5" t="str">
        <f>IF(E199="","",IFERROR(INDEX(칩코드!$C$5:$C$60,MATCH(E199,칩코드!$A$5:$A$60,0)),"?"))</f>
        <v/>
      </c>
      <c r="G199" s="12"/>
      <c r="H199" s="11"/>
      <c r="I199" s="11"/>
      <c r="J199" s="11"/>
      <c r="K199" s="11"/>
      <c r="L199" s="12"/>
      <c r="M199" s="12"/>
      <c r="N199" s="11"/>
      <c r="O199" s="12"/>
      <c r="P199" s="12"/>
      <c r="Q199" s="12"/>
      <c r="R199" s="5" t="str">
        <f t="shared" si="16"/>
        <v/>
      </c>
      <c r="S199" s="5" t="str">
        <f t="shared" si="19"/>
        <v/>
      </c>
      <c r="T199" s="3" t="str">
        <f>IF(B199="","",IF(LEN(B199)&lt;&gt;3,"3자리 아님",IF(SUMPRODUCT(--ISERROR(FIND(MID(B199,{1,2,3},1),"ABCDEFGHIJKLMNOPQRSTUVWXYZ0123456789")))&gt;0,"문자 오류",IF(COUNTIF(코드목록!$B$2:$B$20,LEFT(B199,1))=0,"구분 오류",IF(AND(LEFT(B199,1)="M",RIGHT(B199,1)&lt;&gt;"0"),"모듈 리비전은 0",IF(AND(LEFT(B199,1)&lt;&gt;"M",RIGHT(B199,1)="0"),"리비전은 1부터",IF(COUNTIF($B$5:$B$200,B199)&gt;1,"중복","OK")))))))</f>
        <v/>
      </c>
      <c r="U199" s="3" t="str">
        <f>IF(B199="","",IF(COUNTIF(칩코드!$A$5:$A$60,E199)=0,"칩 미등록",IF(AND(OR(LEFT(B199,1)="C",LEFT(B199,1)="D"),I199=""),"고객 코드 필요",IF(AND(I199&lt;&gt;"",COUNTIF(고객코드!$A$5:$A$200,I199)=0),"고객 미등록",IF(AND(N199&lt;&gt;"",COUNTIF(고객코드!$A$5:$A$200,LEFT(N199,2))=0),"기본값 미등록",IF(AND(H199&lt;&gt;"",COUNTIF($B$5:$B$200,H199)=0),"이전 코드 없음","OK"))))))</f>
        <v/>
      </c>
    </row>
    <row r="200" spans="1:21" x14ac:dyDescent="0.3">
      <c r="A200" s="3" t="str">
        <f t="shared" si="18"/>
        <v/>
      </c>
      <c r="B200" s="11"/>
      <c r="C200" s="5" t="str">
        <f>IF(B200="","",IFERROR(INDEX(코드목록!$C$2:$C$20,MATCH(LEFT(B200,1),코드목록!$B$2:$B$20,0)),"?"))</f>
        <v/>
      </c>
      <c r="D200" s="11"/>
      <c r="E200" s="11"/>
      <c r="F200" s="5" t="str">
        <f>IF(E200="","",IFERROR(INDEX(칩코드!$C$5:$C$60,MATCH(E200,칩코드!$A$5:$A$60,0)),"?"))</f>
        <v/>
      </c>
      <c r="G200" s="12"/>
      <c r="H200" s="11"/>
      <c r="I200" s="11"/>
      <c r="J200" s="11"/>
      <c r="K200" s="11"/>
      <c r="L200" s="12"/>
      <c r="M200" s="12"/>
      <c r="N200" s="11"/>
      <c r="O200" s="12"/>
      <c r="P200" s="12"/>
      <c r="Q200" s="12"/>
      <c r="R200" s="5" t="str">
        <f t="shared" si="16"/>
        <v/>
      </c>
      <c r="S200" s="5" t="str">
        <f t="shared" si="19"/>
        <v/>
      </c>
      <c r="T200" s="3" t="str">
        <f>IF(B200="","",IF(LEN(B200)&lt;&gt;3,"3자리 아님",IF(SUMPRODUCT(--ISERROR(FIND(MID(B200,{1,2,3},1),"ABCDEFGHIJKLMNOPQRSTUVWXYZ0123456789")))&gt;0,"문자 오류",IF(COUNTIF(코드목록!$B$2:$B$20,LEFT(B200,1))=0,"구분 오류",IF(AND(LEFT(B200,1)="M",RIGHT(B200,1)&lt;&gt;"0"),"모듈 리비전은 0",IF(AND(LEFT(B200,1)&lt;&gt;"M",RIGHT(B200,1)="0"),"리비전은 1부터",IF(COUNTIF($B$5:$B$200,B200)&gt;1,"중복","OK")))))))</f>
        <v/>
      </c>
      <c r="U200" s="3" t="str">
        <f>IF(B200="","",IF(COUNTIF(칩코드!$A$5:$A$60,E200)=0,"칩 미등록",IF(AND(OR(LEFT(B200,1)="C",LEFT(B200,1)="D"),I200=""),"고객 코드 필요",IF(AND(I200&lt;&gt;"",COUNTIF(고객코드!$A$5:$A$200,I200)=0),"고객 미등록",IF(AND(N200&lt;&gt;"",COUNTIF(고객코드!$A$5:$A$200,LEFT(N200,2))=0),"기본값 미등록",IF(AND(H200&lt;&gt;"",COUNTIF($B$5:$B$200,H200)=0),"이전 코드 없음","OK"))))))</f>
        <v/>
      </c>
    </row>
  </sheetData>
  <autoFilter ref="A4:U200" xr:uid="{00000000-0009-0000-0000-000000000000}"/>
  <mergeCells count="1">
    <mergeCell ref="A2:U2"/>
  </mergeCells>
  <phoneticPr fontId="7" type="noConversion"/>
  <conditionalFormatting sqref="B5:Q200">
    <cfRule type="expression" dxfId="10" priority="5">
      <formula>$D5="단종"</formula>
    </cfRule>
  </conditionalFormatting>
  <conditionalFormatting sqref="T5:U200">
    <cfRule type="expression" dxfId="9" priority="1">
      <formula>AND(T5&lt;&gt;"",T5&lt;&gt;"OK")</formula>
    </cfRule>
    <cfRule type="expression" dxfId="8" priority="2">
      <formula>T5="OK"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000-000000000000}">
          <x14:formula1>
            <xm:f>코드목록!$A$2:$A$20</xm:f>
          </x14:formula1>
          <xm:sqref>D5:D200</xm:sqref>
        </x14:dataValidation>
        <x14:dataValidation type="list" allowBlank="1" showErrorMessage="1" xr:uid="{00000000-0002-0000-0000-000001000000}">
          <x14:formula1>
            <xm:f>칩코드!$A$5:$A$60</xm:f>
          </x14:formula1>
          <xm:sqref>E5:E200</xm:sqref>
        </x14:dataValidation>
        <x14:dataValidation type="list" allowBlank="1" showErrorMessage="1" xr:uid="{00000000-0002-0000-0000-000002000000}">
          <x14:formula1>
            <xm:f>고객코드!$A$5:$A$200</xm:f>
          </x14:formula1>
          <xm:sqref>I5:I200</xm:sqref>
        </x14:dataValidation>
        <x14:dataValidation type="list" allowBlank="1" showErrorMessage="1" xr:uid="{00000000-0002-0000-0000-000003000000}">
          <x14:formula1>
            <xm:f>코드목록!$D$2:$D$20</xm:f>
          </x14:formula1>
          <xm:sqref>J5:J200</xm:sqref>
        </x14:dataValidation>
        <x14:dataValidation type="list" allowBlank="1" showErrorMessage="1" xr:uid="{00000000-0002-0000-0000-000004000000}">
          <x14:formula1>
            <xm:f>코드목록!$E$2:$E$20</xm:f>
          </x14:formula1>
          <xm:sqref>K5:K200</xm:sqref>
        </x14:dataValidation>
        <x14:dataValidation type="list" allowBlank="1" showErrorMessage="1" xr:uid="{00000000-0002-0000-0000-000005000000}">
          <x14:formula1>
            <xm:f>코드목록!$F$2:$F$20</xm:f>
          </x14:formula1>
          <xm:sqref>L5:L200</xm:sqref>
        </x14:dataValidation>
        <x14:dataValidation type="list" allowBlank="1" showErrorMessage="1" xr:uid="{00000000-0002-0000-0000-000006000000}">
          <x14:formula1>
            <xm:f>코드목록!$G$2:$G$20</xm:f>
          </x14:formula1>
          <xm:sqref>M5:M200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cols>
    <col min="1" max="1" width="20" customWidth="1"/>
    <col min="2" max="2" width="104" customWidth="1"/>
  </cols>
  <sheetData>
    <row r="1" spans="1:2" ht="18.75" x14ac:dyDescent="0.3">
      <c r="A1" s="1" t="s">
        <v>56</v>
      </c>
    </row>
    <row r="3" spans="1:2" x14ac:dyDescent="0.3">
      <c r="A3" s="13" t="s">
        <v>57</v>
      </c>
      <c r="B3" s="6" t="s">
        <v>58</v>
      </c>
    </row>
    <row r="4" spans="1:2" ht="25.5" x14ac:dyDescent="0.3">
      <c r="A4" s="13" t="s">
        <v>59</v>
      </c>
      <c r="B4" s="6" t="s">
        <v>60</v>
      </c>
    </row>
    <row r="5" spans="1:2" ht="25.5" x14ac:dyDescent="0.3">
      <c r="A5" s="13" t="s">
        <v>61</v>
      </c>
      <c r="B5" s="6" t="s">
        <v>62</v>
      </c>
    </row>
    <row r="6" spans="1:2" x14ac:dyDescent="0.3">
      <c r="A6" s="13" t="s">
        <v>63</v>
      </c>
      <c r="B6" s="6" t="s">
        <v>64</v>
      </c>
    </row>
    <row r="7" spans="1:2" ht="25.5" x14ac:dyDescent="0.3">
      <c r="A7" s="13" t="s">
        <v>65</v>
      </c>
      <c r="B7" s="6" t="s">
        <v>66</v>
      </c>
    </row>
    <row r="8" spans="1:2" ht="25.5" x14ac:dyDescent="0.3">
      <c r="A8" s="13" t="s">
        <v>67</v>
      </c>
      <c r="B8" s="6" t="s">
        <v>68</v>
      </c>
    </row>
    <row r="9" spans="1:2" x14ac:dyDescent="0.3">
      <c r="A9" s="13" t="s">
        <v>69</v>
      </c>
      <c r="B9" s="6" t="s">
        <v>70</v>
      </c>
    </row>
    <row r="10" spans="1:2" x14ac:dyDescent="0.3">
      <c r="A10" s="13" t="s">
        <v>71</v>
      </c>
      <c r="B10" s="6" t="s">
        <v>72</v>
      </c>
    </row>
    <row r="11" spans="1:2" ht="25.5" x14ac:dyDescent="0.3">
      <c r="A11" s="13" t="s">
        <v>73</v>
      </c>
      <c r="B11" s="6" t="s">
        <v>74</v>
      </c>
    </row>
    <row r="12" spans="1:2" x14ac:dyDescent="0.3">
      <c r="A12" s="13" t="s">
        <v>75</v>
      </c>
      <c r="B12" s="6" t="s">
        <v>76</v>
      </c>
    </row>
    <row r="13" spans="1:2" x14ac:dyDescent="0.3">
      <c r="A13" s="13" t="s">
        <v>77</v>
      </c>
      <c r="B13" s="6" t="s">
        <v>78</v>
      </c>
    </row>
    <row r="14" spans="1:2" ht="38.25" x14ac:dyDescent="0.3">
      <c r="A14" s="13" t="s">
        <v>79</v>
      </c>
      <c r="B14" s="6" t="s">
        <v>80</v>
      </c>
    </row>
    <row r="15" spans="1:2" x14ac:dyDescent="0.3">
      <c r="A15" s="13" t="s">
        <v>81</v>
      </c>
      <c r="B15" s="6" t="s">
        <v>82</v>
      </c>
    </row>
    <row r="16" spans="1:2" x14ac:dyDescent="0.3">
      <c r="A16" s="13" t="s">
        <v>83</v>
      </c>
      <c r="B16" s="6" t="s">
        <v>84</v>
      </c>
    </row>
    <row r="17" spans="1:2" ht="25.5" x14ac:dyDescent="0.3">
      <c r="A17" s="13" t="s">
        <v>85</v>
      </c>
      <c r="B17" s="6" t="s">
        <v>86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/>
  </sheetViews>
  <sheetFormatPr defaultRowHeight="16.5" x14ac:dyDescent="0.3"/>
  <cols>
    <col min="1" max="2" width="14" customWidth="1"/>
    <col min="3" max="3" width="24" customWidth="1"/>
    <col min="4" max="7" width="14" customWidth="1"/>
  </cols>
  <sheetData>
    <row r="1" spans="1:9" x14ac:dyDescent="0.3">
      <c r="A1" s="2" t="s">
        <v>5</v>
      </c>
      <c r="B1" s="2" t="s">
        <v>87</v>
      </c>
      <c r="C1" s="2" t="s">
        <v>88</v>
      </c>
      <c r="D1" s="2" t="s">
        <v>11</v>
      </c>
      <c r="E1" s="2" t="s">
        <v>12</v>
      </c>
      <c r="F1" s="2" t="s">
        <v>13</v>
      </c>
      <c r="G1" s="2" t="s">
        <v>14</v>
      </c>
      <c r="I1" s="14" t="s">
        <v>89</v>
      </c>
    </row>
    <row r="2" spans="1:9" x14ac:dyDescent="0.3">
      <c r="A2" s="15" t="s">
        <v>24</v>
      </c>
      <c r="B2" s="15" t="s">
        <v>90</v>
      </c>
      <c r="C2" s="15" t="s">
        <v>91</v>
      </c>
      <c r="D2" s="15" t="s">
        <v>92</v>
      </c>
      <c r="E2" s="15" t="s">
        <v>93</v>
      </c>
      <c r="F2" s="15" t="s">
        <v>29</v>
      </c>
      <c r="G2" s="15" t="s">
        <v>30</v>
      </c>
    </row>
    <row r="3" spans="1:9" x14ac:dyDescent="0.3">
      <c r="A3" s="15" t="s">
        <v>39</v>
      </c>
      <c r="B3" s="15" t="s">
        <v>94</v>
      </c>
      <c r="C3" s="15" t="s">
        <v>95</v>
      </c>
      <c r="D3" s="15" t="s">
        <v>52</v>
      </c>
      <c r="E3" s="15" t="s">
        <v>53</v>
      </c>
      <c r="F3" s="15" t="s">
        <v>36</v>
      </c>
      <c r="G3" s="15" t="s">
        <v>96</v>
      </c>
    </row>
    <row r="4" spans="1:9" x14ac:dyDescent="0.3">
      <c r="A4" s="15" t="s">
        <v>44</v>
      </c>
      <c r="B4" s="15" t="s">
        <v>97</v>
      </c>
      <c r="C4" s="15" t="s">
        <v>98</v>
      </c>
      <c r="D4" s="15" t="s">
        <v>27</v>
      </c>
      <c r="E4" s="15" t="s">
        <v>99</v>
      </c>
      <c r="F4" s="15" t="s">
        <v>100</v>
      </c>
      <c r="G4" s="15" t="s">
        <v>101</v>
      </c>
    </row>
    <row r="5" spans="1:9" x14ac:dyDescent="0.3">
      <c r="A5" s="15" t="s">
        <v>102</v>
      </c>
      <c r="B5" s="15" t="s">
        <v>103</v>
      </c>
      <c r="C5" s="15" t="s">
        <v>71</v>
      </c>
      <c r="D5" s="15" t="s">
        <v>104</v>
      </c>
      <c r="E5" s="15" t="s">
        <v>28</v>
      </c>
      <c r="F5" s="15" t="s">
        <v>105</v>
      </c>
      <c r="G5" s="15" t="s">
        <v>106</v>
      </c>
    </row>
    <row r="6" spans="1:9" x14ac:dyDescent="0.3">
      <c r="A6" s="15" t="s">
        <v>48</v>
      </c>
      <c r="B6" s="15" t="s">
        <v>107</v>
      </c>
      <c r="C6" s="15" t="s">
        <v>108</v>
      </c>
      <c r="D6" s="15" t="s">
        <v>109</v>
      </c>
      <c r="E6" s="15" t="s">
        <v>110</v>
      </c>
      <c r="F6" s="15" t="s">
        <v>111</v>
      </c>
      <c r="G6" s="15" t="s">
        <v>112</v>
      </c>
    </row>
    <row r="7" spans="1:9" x14ac:dyDescent="0.3">
      <c r="B7" s="15" t="s">
        <v>113</v>
      </c>
      <c r="C7" s="15" t="s">
        <v>114</v>
      </c>
      <c r="D7" s="15" t="s">
        <v>115</v>
      </c>
    </row>
    <row r="8" spans="1:9" x14ac:dyDescent="0.3">
      <c r="D8" s="15" t="s">
        <v>116</v>
      </c>
    </row>
    <row r="9" spans="1:9" x14ac:dyDescent="0.3">
      <c r="D9" s="15" t="s">
        <v>117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0" customWidth="1"/>
    <col min="2" max="2" width="26" customWidth="1"/>
    <col min="3" max="3" width="10" customWidth="1"/>
    <col min="4" max="4" width="12" customWidth="1"/>
    <col min="5" max="5" width="40" customWidth="1"/>
    <col min="6" max="6" width="12" customWidth="1"/>
  </cols>
  <sheetData>
    <row r="1" spans="1:6" ht="18.75" x14ac:dyDescent="0.3">
      <c r="A1" s="1" t="s">
        <v>118</v>
      </c>
    </row>
    <row r="2" spans="1:6" ht="30" customHeight="1" x14ac:dyDescent="0.3">
      <c r="A2" s="16" t="s">
        <v>119</v>
      </c>
      <c r="B2" s="17"/>
      <c r="C2" s="17"/>
      <c r="D2" s="17"/>
      <c r="E2" s="17"/>
      <c r="F2" s="17"/>
    </row>
    <row r="4" spans="1:6" ht="32.1" customHeight="1" x14ac:dyDescent="0.3">
      <c r="A4" s="2" t="s">
        <v>120</v>
      </c>
      <c r="B4" s="2" t="s">
        <v>121</v>
      </c>
      <c r="C4" s="2" t="s">
        <v>5</v>
      </c>
      <c r="D4" s="2" t="s">
        <v>16</v>
      </c>
      <c r="E4" s="2" t="s">
        <v>122</v>
      </c>
      <c r="F4" s="2" t="s">
        <v>123</v>
      </c>
    </row>
    <row r="5" spans="1:6" x14ac:dyDescent="0.3">
      <c r="A5" s="4" t="s">
        <v>94</v>
      </c>
      <c r="B5" s="6" t="s">
        <v>124</v>
      </c>
      <c r="C5" s="4" t="s">
        <v>24</v>
      </c>
      <c r="D5" s="6" t="s">
        <v>32</v>
      </c>
      <c r="E5" s="6" t="s">
        <v>125</v>
      </c>
      <c r="F5" s="3" t="str">
        <f t="shared" ref="F5:F40" si="0">IF(A5="","",IF(OR(LEN(A5)&lt;&gt;1,ISERROR(FIND(A5,"ABCDEFGHIJKLMNOPQRSTUVWXYZ"))),"형식 오류",IF(COUNTIF($A$5:$A$40,A5)&gt;1,"중복","OK")))</f>
        <v>OK</v>
      </c>
    </row>
    <row r="6" spans="1:6" x14ac:dyDescent="0.3">
      <c r="A6" s="4" t="s">
        <v>126</v>
      </c>
      <c r="B6" s="6" t="s">
        <v>127</v>
      </c>
      <c r="C6" s="4" t="s">
        <v>39</v>
      </c>
      <c r="D6" s="6" t="s">
        <v>32</v>
      </c>
      <c r="E6" s="6" t="s">
        <v>128</v>
      </c>
      <c r="F6" s="3" t="str">
        <f t="shared" si="0"/>
        <v>OK</v>
      </c>
    </row>
    <row r="7" spans="1:6" x14ac:dyDescent="0.3">
      <c r="A7" s="4" t="s">
        <v>129</v>
      </c>
      <c r="B7" s="6" t="s">
        <v>130</v>
      </c>
      <c r="C7" s="4" t="s">
        <v>39</v>
      </c>
      <c r="D7" s="6" t="s">
        <v>32</v>
      </c>
      <c r="E7" s="6" t="s">
        <v>131</v>
      </c>
      <c r="F7" s="3" t="str">
        <f t="shared" si="0"/>
        <v>OK</v>
      </c>
    </row>
    <row r="8" spans="1:6" x14ac:dyDescent="0.3">
      <c r="A8" s="4" t="s">
        <v>132</v>
      </c>
      <c r="B8" s="6" t="s">
        <v>133</v>
      </c>
      <c r="C8" s="4" t="s">
        <v>39</v>
      </c>
      <c r="D8" s="6" t="s">
        <v>32</v>
      </c>
      <c r="E8" s="6" t="s">
        <v>131</v>
      </c>
      <c r="F8" s="3" t="str">
        <f t="shared" si="0"/>
        <v>OK</v>
      </c>
    </row>
    <row r="9" spans="1:6" x14ac:dyDescent="0.3">
      <c r="A9" s="4" t="s">
        <v>134</v>
      </c>
      <c r="B9" s="6" t="s">
        <v>135</v>
      </c>
      <c r="C9" s="4" t="s">
        <v>39</v>
      </c>
      <c r="D9" s="6" t="s">
        <v>32</v>
      </c>
      <c r="E9" s="6" t="s">
        <v>131</v>
      </c>
      <c r="F9" s="3" t="str">
        <f t="shared" si="0"/>
        <v>OK</v>
      </c>
    </row>
    <row r="10" spans="1:6" x14ac:dyDescent="0.3">
      <c r="A10" s="4" t="s">
        <v>136</v>
      </c>
      <c r="B10" s="6" t="s">
        <v>137</v>
      </c>
      <c r="C10" s="4" t="s">
        <v>39</v>
      </c>
      <c r="D10" s="6" t="s">
        <v>32</v>
      </c>
      <c r="E10" s="6" t="s">
        <v>131</v>
      </c>
      <c r="F10" s="3" t="str">
        <f t="shared" si="0"/>
        <v>OK</v>
      </c>
    </row>
    <row r="11" spans="1:6" x14ac:dyDescent="0.3">
      <c r="A11" s="11"/>
      <c r="B11" s="12"/>
      <c r="C11" s="11"/>
      <c r="D11" s="12"/>
      <c r="E11" s="12"/>
      <c r="F11" s="3" t="str">
        <f t="shared" si="0"/>
        <v/>
      </c>
    </row>
    <row r="12" spans="1:6" x14ac:dyDescent="0.3">
      <c r="A12" s="11"/>
      <c r="B12" s="12"/>
      <c r="C12" s="11"/>
      <c r="D12" s="12"/>
      <c r="E12" s="12"/>
      <c r="F12" s="3" t="str">
        <f t="shared" si="0"/>
        <v/>
      </c>
    </row>
    <row r="13" spans="1:6" x14ac:dyDescent="0.3">
      <c r="A13" s="11"/>
      <c r="B13" s="12"/>
      <c r="C13" s="11"/>
      <c r="D13" s="12"/>
      <c r="E13" s="12"/>
      <c r="F13" s="3" t="str">
        <f t="shared" si="0"/>
        <v/>
      </c>
    </row>
    <row r="14" spans="1:6" x14ac:dyDescent="0.3">
      <c r="A14" s="11"/>
      <c r="B14" s="12"/>
      <c r="C14" s="11"/>
      <c r="D14" s="12"/>
      <c r="E14" s="12"/>
      <c r="F14" s="3" t="str">
        <f t="shared" si="0"/>
        <v/>
      </c>
    </row>
    <row r="15" spans="1:6" x14ac:dyDescent="0.3">
      <c r="A15" s="11"/>
      <c r="B15" s="12"/>
      <c r="C15" s="11"/>
      <c r="D15" s="12"/>
      <c r="E15" s="12"/>
      <c r="F15" s="3" t="str">
        <f t="shared" si="0"/>
        <v/>
      </c>
    </row>
    <row r="16" spans="1:6" x14ac:dyDescent="0.3">
      <c r="A16" s="11"/>
      <c r="B16" s="12"/>
      <c r="C16" s="11"/>
      <c r="D16" s="12"/>
      <c r="E16" s="12"/>
      <c r="F16" s="3" t="str">
        <f t="shared" si="0"/>
        <v/>
      </c>
    </row>
    <row r="17" spans="1:6" x14ac:dyDescent="0.3">
      <c r="A17" s="11"/>
      <c r="B17" s="12"/>
      <c r="C17" s="11"/>
      <c r="D17" s="12"/>
      <c r="E17" s="12"/>
      <c r="F17" s="3" t="str">
        <f t="shared" si="0"/>
        <v/>
      </c>
    </row>
    <row r="18" spans="1:6" x14ac:dyDescent="0.3">
      <c r="A18" s="11"/>
      <c r="B18" s="12"/>
      <c r="C18" s="11"/>
      <c r="D18" s="12"/>
      <c r="E18" s="12"/>
      <c r="F18" s="3" t="str">
        <f t="shared" si="0"/>
        <v/>
      </c>
    </row>
    <row r="19" spans="1:6" x14ac:dyDescent="0.3">
      <c r="A19" s="11"/>
      <c r="B19" s="12"/>
      <c r="C19" s="11"/>
      <c r="D19" s="12"/>
      <c r="E19" s="12"/>
      <c r="F19" s="3" t="str">
        <f t="shared" si="0"/>
        <v/>
      </c>
    </row>
    <row r="20" spans="1:6" x14ac:dyDescent="0.3">
      <c r="A20" s="11"/>
      <c r="B20" s="12"/>
      <c r="C20" s="11"/>
      <c r="D20" s="12"/>
      <c r="E20" s="12"/>
      <c r="F20" s="3" t="str">
        <f t="shared" si="0"/>
        <v/>
      </c>
    </row>
    <row r="21" spans="1:6" x14ac:dyDescent="0.3">
      <c r="A21" s="11"/>
      <c r="B21" s="12"/>
      <c r="C21" s="11"/>
      <c r="D21" s="12"/>
      <c r="E21" s="12"/>
      <c r="F21" s="3" t="str">
        <f t="shared" si="0"/>
        <v/>
      </c>
    </row>
    <row r="22" spans="1:6" x14ac:dyDescent="0.3">
      <c r="A22" s="11"/>
      <c r="B22" s="12"/>
      <c r="C22" s="11"/>
      <c r="D22" s="12"/>
      <c r="E22" s="12"/>
      <c r="F22" s="3" t="str">
        <f t="shared" si="0"/>
        <v/>
      </c>
    </row>
    <row r="23" spans="1:6" x14ac:dyDescent="0.3">
      <c r="A23" s="11"/>
      <c r="B23" s="12"/>
      <c r="C23" s="11"/>
      <c r="D23" s="12"/>
      <c r="E23" s="12"/>
      <c r="F23" s="3" t="str">
        <f t="shared" si="0"/>
        <v/>
      </c>
    </row>
    <row r="24" spans="1:6" x14ac:dyDescent="0.3">
      <c r="A24" s="11"/>
      <c r="B24" s="12"/>
      <c r="C24" s="11"/>
      <c r="D24" s="12"/>
      <c r="E24" s="12"/>
      <c r="F24" s="3" t="str">
        <f t="shared" si="0"/>
        <v/>
      </c>
    </row>
    <row r="25" spans="1:6" x14ac:dyDescent="0.3">
      <c r="A25" s="11"/>
      <c r="B25" s="12"/>
      <c r="C25" s="11"/>
      <c r="D25" s="12"/>
      <c r="E25" s="12"/>
      <c r="F25" s="3" t="str">
        <f t="shared" si="0"/>
        <v/>
      </c>
    </row>
    <row r="26" spans="1:6" x14ac:dyDescent="0.3">
      <c r="A26" s="11"/>
      <c r="B26" s="12"/>
      <c r="C26" s="11"/>
      <c r="D26" s="12"/>
      <c r="E26" s="12"/>
      <c r="F26" s="3" t="str">
        <f t="shared" si="0"/>
        <v/>
      </c>
    </row>
    <row r="27" spans="1:6" x14ac:dyDescent="0.3">
      <c r="A27" s="11"/>
      <c r="B27" s="12"/>
      <c r="C27" s="11"/>
      <c r="D27" s="12"/>
      <c r="E27" s="12"/>
      <c r="F27" s="3" t="str">
        <f t="shared" si="0"/>
        <v/>
      </c>
    </row>
    <row r="28" spans="1:6" x14ac:dyDescent="0.3">
      <c r="A28" s="11"/>
      <c r="B28" s="12"/>
      <c r="C28" s="11"/>
      <c r="D28" s="12"/>
      <c r="E28" s="12"/>
      <c r="F28" s="3" t="str">
        <f t="shared" si="0"/>
        <v/>
      </c>
    </row>
    <row r="29" spans="1:6" x14ac:dyDescent="0.3">
      <c r="A29" s="11"/>
      <c r="B29" s="12"/>
      <c r="C29" s="11"/>
      <c r="D29" s="12"/>
      <c r="E29" s="12"/>
      <c r="F29" s="3" t="str">
        <f t="shared" si="0"/>
        <v/>
      </c>
    </row>
    <row r="30" spans="1:6" x14ac:dyDescent="0.3">
      <c r="A30" s="11"/>
      <c r="B30" s="12"/>
      <c r="C30" s="11"/>
      <c r="D30" s="12"/>
      <c r="E30" s="12"/>
      <c r="F30" s="3" t="str">
        <f t="shared" si="0"/>
        <v/>
      </c>
    </row>
    <row r="31" spans="1:6" x14ac:dyDescent="0.3">
      <c r="A31" s="11"/>
      <c r="B31" s="12"/>
      <c r="C31" s="11"/>
      <c r="D31" s="12"/>
      <c r="E31" s="12"/>
      <c r="F31" s="3" t="str">
        <f t="shared" si="0"/>
        <v/>
      </c>
    </row>
    <row r="32" spans="1:6" x14ac:dyDescent="0.3">
      <c r="A32" s="11"/>
      <c r="B32" s="12"/>
      <c r="C32" s="11"/>
      <c r="D32" s="12"/>
      <c r="E32" s="12"/>
      <c r="F32" s="3" t="str">
        <f t="shared" si="0"/>
        <v/>
      </c>
    </row>
    <row r="33" spans="1:6" x14ac:dyDescent="0.3">
      <c r="A33" s="11"/>
      <c r="B33" s="12"/>
      <c r="C33" s="11"/>
      <c r="D33" s="12"/>
      <c r="E33" s="12"/>
      <c r="F33" s="3" t="str">
        <f t="shared" si="0"/>
        <v/>
      </c>
    </row>
    <row r="34" spans="1:6" x14ac:dyDescent="0.3">
      <c r="A34" s="11"/>
      <c r="B34" s="12"/>
      <c r="C34" s="11"/>
      <c r="D34" s="12"/>
      <c r="E34" s="12"/>
      <c r="F34" s="3" t="str">
        <f t="shared" si="0"/>
        <v/>
      </c>
    </row>
    <row r="35" spans="1:6" x14ac:dyDescent="0.3">
      <c r="A35" s="11"/>
      <c r="B35" s="12"/>
      <c r="C35" s="11"/>
      <c r="D35" s="12"/>
      <c r="E35" s="12"/>
      <c r="F35" s="3" t="str">
        <f t="shared" si="0"/>
        <v/>
      </c>
    </row>
    <row r="36" spans="1:6" x14ac:dyDescent="0.3">
      <c r="A36" s="11"/>
      <c r="B36" s="12"/>
      <c r="C36" s="11"/>
      <c r="D36" s="12"/>
      <c r="E36" s="12"/>
      <c r="F36" s="3" t="str">
        <f t="shared" si="0"/>
        <v/>
      </c>
    </row>
    <row r="37" spans="1:6" x14ac:dyDescent="0.3">
      <c r="A37" s="11"/>
      <c r="B37" s="12"/>
      <c r="C37" s="11"/>
      <c r="D37" s="12"/>
      <c r="E37" s="12"/>
      <c r="F37" s="3" t="str">
        <f t="shared" si="0"/>
        <v/>
      </c>
    </row>
    <row r="38" spans="1:6" x14ac:dyDescent="0.3">
      <c r="A38" s="11"/>
      <c r="B38" s="12"/>
      <c r="C38" s="11"/>
      <c r="D38" s="12"/>
      <c r="E38" s="12"/>
      <c r="F38" s="3" t="str">
        <f t="shared" si="0"/>
        <v/>
      </c>
    </row>
    <row r="39" spans="1:6" x14ac:dyDescent="0.3">
      <c r="A39" s="11"/>
      <c r="B39" s="12"/>
      <c r="C39" s="11"/>
      <c r="D39" s="12"/>
      <c r="E39" s="12"/>
      <c r="F39" s="3" t="str">
        <f t="shared" si="0"/>
        <v/>
      </c>
    </row>
    <row r="40" spans="1:6" x14ac:dyDescent="0.3">
      <c r="A40" s="11"/>
      <c r="B40" s="12"/>
      <c r="C40" s="11"/>
      <c r="D40" s="12"/>
      <c r="E40" s="12"/>
      <c r="F40" s="3" t="str">
        <f t="shared" si="0"/>
        <v/>
      </c>
    </row>
  </sheetData>
  <autoFilter ref="A4:F40" xr:uid="{00000000-0009-0000-0000-000003000000}"/>
  <mergeCells count="1">
    <mergeCell ref="A2:F2"/>
  </mergeCells>
  <phoneticPr fontId="7" type="noConversion"/>
  <conditionalFormatting sqref="F5:F40">
    <cfRule type="expression" dxfId="7" priority="1">
      <formula>AND(F5&lt;&gt;"",F5&lt;&gt;"OK")</formula>
    </cfRule>
    <cfRule type="expression" dxfId="6" priority="2">
      <formula>F5="OK"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코드목록!$A$2:$A$20</xm:f>
          </x14:formula1>
          <xm:sqref>C5:C40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0" customWidth="1"/>
    <col min="2" max="2" width="20" customWidth="1"/>
    <col min="3" max="3" width="18" customWidth="1"/>
    <col min="4" max="4" width="12" customWidth="1"/>
    <col min="5" max="5" width="16" customWidth="1"/>
    <col min="6" max="6" width="12" customWidth="1"/>
    <col min="7" max="7" width="10" customWidth="1"/>
    <col min="8" max="8" width="12" customWidth="1"/>
    <col min="9" max="9" width="36" customWidth="1"/>
    <col min="10" max="10" width="12" customWidth="1"/>
  </cols>
  <sheetData>
    <row r="1" spans="1:10" ht="18.75" x14ac:dyDescent="0.3">
      <c r="A1" s="1" t="s">
        <v>138</v>
      </c>
    </row>
    <row r="2" spans="1:10" ht="30" customHeight="1" x14ac:dyDescent="0.3">
      <c r="A2" s="16" t="s">
        <v>139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ht="32.1" customHeight="1" x14ac:dyDescent="0.3">
      <c r="A4" s="2" t="s">
        <v>6</v>
      </c>
      <c r="B4" s="2" t="s">
        <v>140</v>
      </c>
      <c r="C4" s="2" t="s">
        <v>141</v>
      </c>
      <c r="D4" s="2" t="s">
        <v>142</v>
      </c>
      <c r="E4" s="2" t="s">
        <v>143</v>
      </c>
      <c r="F4" s="2" t="s">
        <v>144</v>
      </c>
      <c r="G4" s="2" t="s">
        <v>5</v>
      </c>
      <c r="H4" s="2" t="s">
        <v>16</v>
      </c>
      <c r="I4" s="2" t="s">
        <v>122</v>
      </c>
      <c r="J4" s="2" t="s">
        <v>123</v>
      </c>
    </row>
    <row r="5" spans="1:10" x14ac:dyDescent="0.3">
      <c r="A5" s="4" t="s">
        <v>25</v>
      </c>
      <c r="B5" s="5" t="str">
        <f>IF(A5="","",IFERROR(INDEX(벤더코드!$B$5:$B$40,MATCH(LEFT(A5,1),벤더코드!$A$5:$A$40,0)),"?"))</f>
        <v>Espressif Systems</v>
      </c>
      <c r="C5" s="6" t="s">
        <v>145</v>
      </c>
      <c r="D5" s="4" t="s">
        <v>28</v>
      </c>
      <c r="E5" s="6" t="s">
        <v>146</v>
      </c>
      <c r="F5" s="4" t="s">
        <v>147</v>
      </c>
      <c r="G5" s="4" t="s">
        <v>24</v>
      </c>
      <c r="H5" s="6" t="s">
        <v>32</v>
      </c>
      <c r="I5" s="6" t="s">
        <v>148</v>
      </c>
      <c r="J5" s="3" t="str">
        <f>IF(A5="","",IF(LEN(A5)&lt;&gt;3,"3자리 아님",IF(SUMPRODUCT(--ISERROR(FIND(MID(A5,{1,2,3},1),"ABCDEFGHIJKLMNOPQRSTUVWXYZ0123456789")))&gt;0,"문자 오류",IF(COUNTIF(벤더코드!$A$5:$A$40,LEFT(A5,1))=0,"벤더 미등록",IF(COUNTIF($A$5:$A$60,A5)&gt;1,"중복","OK")))))</f>
        <v>OK</v>
      </c>
    </row>
    <row r="6" spans="1:10" x14ac:dyDescent="0.3">
      <c r="A6" s="4" t="s">
        <v>49</v>
      </c>
      <c r="B6" s="5" t="str">
        <f>IF(A6="","",IFERROR(INDEX(벤더코드!$B$5:$B$40,MATCH(LEFT(A6,1),벤더코드!$A$5:$A$40,0)),"?"))</f>
        <v>Espressif Systems</v>
      </c>
      <c r="C6" s="6" t="s">
        <v>149</v>
      </c>
      <c r="D6" s="4" t="s">
        <v>150</v>
      </c>
      <c r="E6" s="6" t="s">
        <v>146</v>
      </c>
      <c r="F6" s="4" t="s">
        <v>147</v>
      </c>
      <c r="G6" s="4" t="s">
        <v>39</v>
      </c>
      <c r="H6" s="6" t="s">
        <v>32</v>
      </c>
      <c r="I6" s="6" t="s">
        <v>151</v>
      </c>
      <c r="J6" s="3" t="str">
        <f>IF(A6="","",IF(LEN(A6)&lt;&gt;3,"3자리 아님",IF(SUMPRODUCT(--ISERROR(FIND(MID(A6,{1,2,3},1),"ABCDEFGHIJKLMNOPQRSTUVWXYZ0123456789")))&gt;0,"문자 오류",IF(COUNTIF(벤더코드!$A$5:$A$40,LEFT(A6,1))=0,"벤더 미등록",IF(COUNTIF($A$5:$A$60,A6)&gt;1,"중복","OK")))))</f>
        <v>OK</v>
      </c>
    </row>
    <row r="7" spans="1:10" x14ac:dyDescent="0.3">
      <c r="A7" s="4" t="s">
        <v>152</v>
      </c>
      <c r="B7" s="5" t="str">
        <f>IF(A7="","",IFERROR(INDEX(벤더코드!$B$5:$B$40,MATCH(LEFT(A7,1),벤더코드!$A$5:$A$40,0)),"?"))</f>
        <v>Espressif Systems</v>
      </c>
      <c r="C7" s="6" t="s">
        <v>153</v>
      </c>
      <c r="D7" s="4" t="s">
        <v>28</v>
      </c>
      <c r="E7" s="6" t="s">
        <v>146</v>
      </c>
      <c r="F7" s="4" t="s">
        <v>154</v>
      </c>
      <c r="G7" s="4" t="s">
        <v>39</v>
      </c>
      <c r="H7" s="6" t="s">
        <v>32</v>
      </c>
      <c r="I7" s="6"/>
      <c r="J7" s="3" t="str">
        <f>IF(A7="","",IF(LEN(A7)&lt;&gt;3,"3자리 아님",IF(SUMPRODUCT(--ISERROR(FIND(MID(A7,{1,2,3},1),"ABCDEFGHIJKLMNOPQRSTUVWXYZ0123456789")))&gt;0,"문자 오류",IF(COUNTIF(벤더코드!$A$5:$A$40,LEFT(A7,1))=0,"벤더 미등록",IF(COUNTIF($A$5:$A$60,A7)&gt;1,"중복","OK")))))</f>
        <v>OK</v>
      </c>
    </row>
    <row r="8" spans="1:10" x14ac:dyDescent="0.3">
      <c r="A8" s="4" t="s">
        <v>155</v>
      </c>
      <c r="B8" s="5" t="str">
        <f>IF(A8="","",IFERROR(INDEX(벤더코드!$B$5:$B$40,MATCH(LEFT(A8,1),벤더코드!$A$5:$A$40,0)),"?"))</f>
        <v>Espressif Systems</v>
      </c>
      <c r="C8" s="6" t="s">
        <v>156</v>
      </c>
      <c r="D8" s="4" t="s">
        <v>28</v>
      </c>
      <c r="E8" s="6" t="s">
        <v>146</v>
      </c>
      <c r="F8" s="4" t="s">
        <v>147</v>
      </c>
      <c r="G8" s="4" t="s">
        <v>39</v>
      </c>
      <c r="H8" s="6" t="s">
        <v>32</v>
      </c>
      <c r="I8" s="6" t="s">
        <v>157</v>
      </c>
      <c r="J8" s="3" t="str">
        <f>IF(A8="","",IF(LEN(A8)&lt;&gt;3,"3자리 아님",IF(SUMPRODUCT(--ISERROR(FIND(MID(A8,{1,2,3},1),"ABCDEFGHIJKLMNOPQRSTUVWXYZ0123456789")))&gt;0,"문자 오류",IF(COUNTIF(벤더코드!$A$5:$A$40,LEFT(A8,1))=0,"벤더 미등록",IF(COUNTIF($A$5:$A$60,A8)&gt;1,"중복","OK")))))</f>
        <v>OK</v>
      </c>
    </row>
    <row r="9" spans="1:10" x14ac:dyDescent="0.3">
      <c r="A9" s="4" t="s">
        <v>158</v>
      </c>
      <c r="B9" s="5" t="str">
        <f>IF(A9="","",IFERROR(INDEX(벤더코드!$B$5:$B$40,MATCH(LEFT(A9,1),벤더코드!$A$5:$A$40,0)),"?"))</f>
        <v>Espressif Systems</v>
      </c>
      <c r="C9" s="6" t="s">
        <v>159</v>
      </c>
      <c r="D9" s="4" t="s">
        <v>150</v>
      </c>
      <c r="E9" s="6" t="s">
        <v>146</v>
      </c>
      <c r="F9" s="4" t="s">
        <v>154</v>
      </c>
      <c r="G9" s="4" t="s">
        <v>39</v>
      </c>
      <c r="H9" s="6" t="s">
        <v>32</v>
      </c>
      <c r="I9" s="6" t="s">
        <v>157</v>
      </c>
      <c r="J9" s="3" t="str">
        <f>IF(A9="","",IF(LEN(A9)&lt;&gt;3,"3자리 아님",IF(SUMPRODUCT(--ISERROR(FIND(MID(A9,{1,2,3},1),"ABCDEFGHIJKLMNOPQRSTUVWXYZ0123456789")))&gt;0,"문자 오류",IF(COUNTIF(벤더코드!$A$5:$A$40,LEFT(A9,1))=0,"벤더 미등록",IF(COUNTIF($A$5:$A$60,A9)&gt;1,"중복","OK")))))</f>
        <v>OK</v>
      </c>
    </row>
    <row r="10" spans="1:10" x14ac:dyDescent="0.3">
      <c r="A10" s="11"/>
      <c r="B10" s="5" t="str">
        <f>IF(A10="","",IFERROR(INDEX(벤더코드!$B$5:$B$40,MATCH(LEFT(A10,1),벤더코드!$A$5:$A$40,0)),"?"))</f>
        <v/>
      </c>
      <c r="C10" s="12"/>
      <c r="D10" s="11"/>
      <c r="E10" s="12"/>
      <c r="F10" s="11"/>
      <c r="G10" s="11"/>
      <c r="H10" s="12"/>
      <c r="I10" s="12"/>
      <c r="J10" s="3" t="str">
        <f>IF(A10="","",IF(LEN(A10)&lt;&gt;3,"3자리 아님",IF(SUMPRODUCT(--ISERROR(FIND(MID(A10,{1,2,3},1),"ABCDEFGHIJKLMNOPQRSTUVWXYZ0123456789")))&gt;0,"문자 오류",IF(COUNTIF(벤더코드!$A$5:$A$40,LEFT(A10,1))=0,"벤더 미등록",IF(COUNTIF($A$5:$A$60,A10)&gt;1,"중복","OK")))))</f>
        <v/>
      </c>
    </row>
    <row r="11" spans="1:10" x14ac:dyDescent="0.3">
      <c r="A11" s="11"/>
      <c r="B11" s="5" t="str">
        <f>IF(A11="","",IFERROR(INDEX(벤더코드!$B$5:$B$40,MATCH(LEFT(A11,1),벤더코드!$A$5:$A$40,0)),"?"))</f>
        <v/>
      </c>
      <c r="C11" s="12"/>
      <c r="D11" s="11"/>
      <c r="E11" s="12"/>
      <c r="F11" s="11"/>
      <c r="G11" s="11"/>
      <c r="H11" s="12"/>
      <c r="I11" s="12"/>
      <c r="J11" s="3" t="str">
        <f>IF(A11="","",IF(LEN(A11)&lt;&gt;3,"3자리 아님",IF(SUMPRODUCT(--ISERROR(FIND(MID(A11,{1,2,3},1),"ABCDEFGHIJKLMNOPQRSTUVWXYZ0123456789")))&gt;0,"문자 오류",IF(COUNTIF(벤더코드!$A$5:$A$40,LEFT(A11,1))=0,"벤더 미등록",IF(COUNTIF($A$5:$A$60,A11)&gt;1,"중복","OK")))))</f>
        <v/>
      </c>
    </row>
    <row r="12" spans="1:10" x14ac:dyDescent="0.3">
      <c r="A12" s="11"/>
      <c r="B12" s="5" t="str">
        <f>IF(A12="","",IFERROR(INDEX(벤더코드!$B$5:$B$40,MATCH(LEFT(A12,1),벤더코드!$A$5:$A$40,0)),"?"))</f>
        <v/>
      </c>
      <c r="C12" s="12"/>
      <c r="D12" s="11"/>
      <c r="E12" s="12"/>
      <c r="F12" s="11"/>
      <c r="G12" s="11"/>
      <c r="H12" s="12"/>
      <c r="I12" s="12"/>
      <c r="J12" s="3" t="str">
        <f>IF(A12="","",IF(LEN(A12)&lt;&gt;3,"3자리 아님",IF(SUMPRODUCT(--ISERROR(FIND(MID(A12,{1,2,3},1),"ABCDEFGHIJKLMNOPQRSTUVWXYZ0123456789")))&gt;0,"문자 오류",IF(COUNTIF(벤더코드!$A$5:$A$40,LEFT(A12,1))=0,"벤더 미등록",IF(COUNTIF($A$5:$A$60,A12)&gt;1,"중복","OK")))))</f>
        <v/>
      </c>
    </row>
    <row r="13" spans="1:10" x14ac:dyDescent="0.3">
      <c r="A13" s="11"/>
      <c r="B13" s="5" t="str">
        <f>IF(A13="","",IFERROR(INDEX(벤더코드!$B$5:$B$40,MATCH(LEFT(A13,1),벤더코드!$A$5:$A$40,0)),"?"))</f>
        <v/>
      </c>
      <c r="C13" s="12"/>
      <c r="D13" s="11"/>
      <c r="E13" s="12"/>
      <c r="F13" s="11"/>
      <c r="G13" s="11"/>
      <c r="H13" s="12"/>
      <c r="I13" s="12"/>
      <c r="J13" s="3" t="str">
        <f>IF(A13="","",IF(LEN(A13)&lt;&gt;3,"3자리 아님",IF(SUMPRODUCT(--ISERROR(FIND(MID(A13,{1,2,3},1),"ABCDEFGHIJKLMNOPQRSTUVWXYZ0123456789")))&gt;0,"문자 오류",IF(COUNTIF(벤더코드!$A$5:$A$40,LEFT(A13,1))=0,"벤더 미등록",IF(COUNTIF($A$5:$A$60,A13)&gt;1,"중복","OK")))))</f>
        <v/>
      </c>
    </row>
    <row r="14" spans="1:10" x14ac:dyDescent="0.3">
      <c r="A14" s="11"/>
      <c r="B14" s="5" t="str">
        <f>IF(A14="","",IFERROR(INDEX(벤더코드!$B$5:$B$40,MATCH(LEFT(A14,1),벤더코드!$A$5:$A$40,0)),"?"))</f>
        <v/>
      </c>
      <c r="C14" s="12"/>
      <c r="D14" s="11"/>
      <c r="E14" s="12"/>
      <c r="F14" s="11"/>
      <c r="G14" s="11"/>
      <c r="H14" s="12"/>
      <c r="I14" s="12"/>
      <c r="J14" s="3" t="str">
        <f>IF(A14="","",IF(LEN(A14)&lt;&gt;3,"3자리 아님",IF(SUMPRODUCT(--ISERROR(FIND(MID(A14,{1,2,3},1),"ABCDEFGHIJKLMNOPQRSTUVWXYZ0123456789")))&gt;0,"문자 오류",IF(COUNTIF(벤더코드!$A$5:$A$40,LEFT(A14,1))=0,"벤더 미등록",IF(COUNTIF($A$5:$A$60,A14)&gt;1,"중복","OK")))))</f>
        <v/>
      </c>
    </row>
    <row r="15" spans="1:10" x14ac:dyDescent="0.3">
      <c r="A15" s="11"/>
      <c r="B15" s="5" t="str">
        <f>IF(A15="","",IFERROR(INDEX(벤더코드!$B$5:$B$40,MATCH(LEFT(A15,1),벤더코드!$A$5:$A$40,0)),"?"))</f>
        <v/>
      </c>
      <c r="C15" s="12"/>
      <c r="D15" s="11"/>
      <c r="E15" s="12"/>
      <c r="F15" s="11"/>
      <c r="G15" s="11"/>
      <c r="H15" s="12"/>
      <c r="I15" s="12"/>
      <c r="J15" s="3" t="str">
        <f>IF(A15="","",IF(LEN(A15)&lt;&gt;3,"3자리 아님",IF(SUMPRODUCT(--ISERROR(FIND(MID(A15,{1,2,3},1),"ABCDEFGHIJKLMNOPQRSTUVWXYZ0123456789")))&gt;0,"문자 오류",IF(COUNTIF(벤더코드!$A$5:$A$40,LEFT(A15,1))=0,"벤더 미등록",IF(COUNTIF($A$5:$A$60,A15)&gt;1,"중복","OK")))))</f>
        <v/>
      </c>
    </row>
    <row r="16" spans="1:10" x14ac:dyDescent="0.3">
      <c r="A16" s="11"/>
      <c r="B16" s="5" t="str">
        <f>IF(A16="","",IFERROR(INDEX(벤더코드!$B$5:$B$40,MATCH(LEFT(A16,1),벤더코드!$A$5:$A$40,0)),"?"))</f>
        <v/>
      </c>
      <c r="C16" s="12"/>
      <c r="D16" s="11"/>
      <c r="E16" s="12"/>
      <c r="F16" s="11"/>
      <c r="G16" s="11"/>
      <c r="H16" s="12"/>
      <c r="I16" s="12"/>
      <c r="J16" s="3" t="str">
        <f>IF(A16="","",IF(LEN(A16)&lt;&gt;3,"3자리 아님",IF(SUMPRODUCT(--ISERROR(FIND(MID(A16,{1,2,3},1),"ABCDEFGHIJKLMNOPQRSTUVWXYZ0123456789")))&gt;0,"문자 오류",IF(COUNTIF(벤더코드!$A$5:$A$40,LEFT(A16,1))=0,"벤더 미등록",IF(COUNTIF($A$5:$A$60,A16)&gt;1,"중복","OK")))))</f>
        <v/>
      </c>
    </row>
    <row r="17" spans="1:10" x14ac:dyDescent="0.3">
      <c r="A17" s="11"/>
      <c r="B17" s="5" t="str">
        <f>IF(A17="","",IFERROR(INDEX(벤더코드!$B$5:$B$40,MATCH(LEFT(A17,1),벤더코드!$A$5:$A$40,0)),"?"))</f>
        <v/>
      </c>
      <c r="C17" s="12"/>
      <c r="D17" s="11"/>
      <c r="E17" s="12"/>
      <c r="F17" s="11"/>
      <c r="G17" s="11"/>
      <c r="H17" s="12"/>
      <c r="I17" s="12"/>
      <c r="J17" s="3" t="str">
        <f>IF(A17="","",IF(LEN(A17)&lt;&gt;3,"3자리 아님",IF(SUMPRODUCT(--ISERROR(FIND(MID(A17,{1,2,3},1),"ABCDEFGHIJKLMNOPQRSTUVWXYZ0123456789")))&gt;0,"문자 오류",IF(COUNTIF(벤더코드!$A$5:$A$40,LEFT(A17,1))=0,"벤더 미등록",IF(COUNTIF($A$5:$A$60,A17)&gt;1,"중복","OK")))))</f>
        <v/>
      </c>
    </row>
    <row r="18" spans="1:10" x14ac:dyDescent="0.3">
      <c r="A18" s="11"/>
      <c r="B18" s="5" t="str">
        <f>IF(A18="","",IFERROR(INDEX(벤더코드!$B$5:$B$40,MATCH(LEFT(A18,1),벤더코드!$A$5:$A$40,0)),"?"))</f>
        <v/>
      </c>
      <c r="C18" s="12"/>
      <c r="D18" s="11"/>
      <c r="E18" s="12"/>
      <c r="F18" s="11"/>
      <c r="G18" s="11"/>
      <c r="H18" s="12"/>
      <c r="I18" s="12"/>
      <c r="J18" s="3" t="str">
        <f>IF(A18="","",IF(LEN(A18)&lt;&gt;3,"3자리 아님",IF(SUMPRODUCT(--ISERROR(FIND(MID(A18,{1,2,3},1),"ABCDEFGHIJKLMNOPQRSTUVWXYZ0123456789")))&gt;0,"문자 오류",IF(COUNTIF(벤더코드!$A$5:$A$40,LEFT(A18,1))=0,"벤더 미등록",IF(COUNTIF($A$5:$A$60,A18)&gt;1,"중복","OK")))))</f>
        <v/>
      </c>
    </row>
    <row r="19" spans="1:10" x14ac:dyDescent="0.3">
      <c r="A19" s="11"/>
      <c r="B19" s="5" t="str">
        <f>IF(A19="","",IFERROR(INDEX(벤더코드!$B$5:$B$40,MATCH(LEFT(A19,1),벤더코드!$A$5:$A$40,0)),"?"))</f>
        <v/>
      </c>
      <c r="C19" s="12"/>
      <c r="D19" s="11"/>
      <c r="E19" s="12"/>
      <c r="F19" s="11"/>
      <c r="G19" s="11"/>
      <c r="H19" s="12"/>
      <c r="I19" s="12"/>
      <c r="J19" s="3" t="str">
        <f>IF(A19="","",IF(LEN(A19)&lt;&gt;3,"3자리 아님",IF(SUMPRODUCT(--ISERROR(FIND(MID(A19,{1,2,3},1),"ABCDEFGHIJKLMNOPQRSTUVWXYZ0123456789")))&gt;0,"문자 오류",IF(COUNTIF(벤더코드!$A$5:$A$40,LEFT(A19,1))=0,"벤더 미등록",IF(COUNTIF($A$5:$A$60,A19)&gt;1,"중복","OK")))))</f>
        <v/>
      </c>
    </row>
    <row r="20" spans="1:10" x14ac:dyDescent="0.3">
      <c r="A20" s="11"/>
      <c r="B20" s="5" t="str">
        <f>IF(A20="","",IFERROR(INDEX(벤더코드!$B$5:$B$40,MATCH(LEFT(A20,1),벤더코드!$A$5:$A$40,0)),"?"))</f>
        <v/>
      </c>
      <c r="C20" s="12"/>
      <c r="D20" s="11"/>
      <c r="E20" s="12"/>
      <c r="F20" s="11"/>
      <c r="G20" s="11"/>
      <c r="H20" s="12"/>
      <c r="I20" s="12"/>
      <c r="J20" s="3" t="str">
        <f>IF(A20="","",IF(LEN(A20)&lt;&gt;3,"3자리 아님",IF(SUMPRODUCT(--ISERROR(FIND(MID(A20,{1,2,3},1),"ABCDEFGHIJKLMNOPQRSTUVWXYZ0123456789")))&gt;0,"문자 오류",IF(COUNTIF(벤더코드!$A$5:$A$40,LEFT(A20,1))=0,"벤더 미등록",IF(COUNTIF($A$5:$A$60,A20)&gt;1,"중복","OK")))))</f>
        <v/>
      </c>
    </row>
    <row r="21" spans="1:10" x14ac:dyDescent="0.3">
      <c r="A21" s="11"/>
      <c r="B21" s="5" t="str">
        <f>IF(A21="","",IFERROR(INDEX(벤더코드!$B$5:$B$40,MATCH(LEFT(A21,1),벤더코드!$A$5:$A$40,0)),"?"))</f>
        <v/>
      </c>
      <c r="C21" s="12"/>
      <c r="D21" s="11"/>
      <c r="E21" s="12"/>
      <c r="F21" s="11"/>
      <c r="G21" s="11"/>
      <c r="H21" s="12"/>
      <c r="I21" s="12"/>
      <c r="J21" s="3" t="str">
        <f>IF(A21="","",IF(LEN(A21)&lt;&gt;3,"3자리 아님",IF(SUMPRODUCT(--ISERROR(FIND(MID(A21,{1,2,3},1),"ABCDEFGHIJKLMNOPQRSTUVWXYZ0123456789")))&gt;0,"문자 오류",IF(COUNTIF(벤더코드!$A$5:$A$40,LEFT(A21,1))=0,"벤더 미등록",IF(COUNTIF($A$5:$A$60,A21)&gt;1,"중복","OK")))))</f>
        <v/>
      </c>
    </row>
    <row r="22" spans="1:10" x14ac:dyDescent="0.3">
      <c r="A22" s="11"/>
      <c r="B22" s="5" t="str">
        <f>IF(A22="","",IFERROR(INDEX(벤더코드!$B$5:$B$40,MATCH(LEFT(A22,1),벤더코드!$A$5:$A$40,0)),"?"))</f>
        <v/>
      </c>
      <c r="C22" s="12"/>
      <c r="D22" s="11"/>
      <c r="E22" s="12"/>
      <c r="F22" s="11"/>
      <c r="G22" s="11"/>
      <c r="H22" s="12"/>
      <c r="I22" s="12"/>
      <c r="J22" s="3" t="str">
        <f>IF(A22="","",IF(LEN(A22)&lt;&gt;3,"3자리 아님",IF(SUMPRODUCT(--ISERROR(FIND(MID(A22,{1,2,3},1),"ABCDEFGHIJKLMNOPQRSTUVWXYZ0123456789")))&gt;0,"문자 오류",IF(COUNTIF(벤더코드!$A$5:$A$40,LEFT(A22,1))=0,"벤더 미등록",IF(COUNTIF($A$5:$A$60,A22)&gt;1,"중복","OK")))))</f>
        <v/>
      </c>
    </row>
    <row r="23" spans="1:10" x14ac:dyDescent="0.3">
      <c r="A23" s="11"/>
      <c r="B23" s="5" t="str">
        <f>IF(A23="","",IFERROR(INDEX(벤더코드!$B$5:$B$40,MATCH(LEFT(A23,1),벤더코드!$A$5:$A$40,0)),"?"))</f>
        <v/>
      </c>
      <c r="C23" s="12"/>
      <c r="D23" s="11"/>
      <c r="E23" s="12"/>
      <c r="F23" s="11"/>
      <c r="G23" s="11"/>
      <c r="H23" s="12"/>
      <c r="I23" s="12"/>
      <c r="J23" s="3" t="str">
        <f>IF(A23="","",IF(LEN(A23)&lt;&gt;3,"3자리 아님",IF(SUMPRODUCT(--ISERROR(FIND(MID(A23,{1,2,3},1),"ABCDEFGHIJKLMNOPQRSTUVWXYZ0123456789")))&gt;0,"문자 오류",IF(COUNTIF(벤더코드!$A$5:$A$40,LEFT(A23,1))=0,"벤더 미등록",IF(COUNTIF($A$5:$A$60,A23)&gt;1,"중복","OK")))))</f>
        <v/>
      </c>
    </row>
    <row r="24" spans="1:10" x14ac:dyDescent="0.3">
      <c r="A24" s="11"/>
      <c r="B24" s="5" t="str">
        <f>IF(A24="","",IFERROR(INDEX(벤더코드!$B$5:$B$40,MATCH(LEFT(A24,1),벤더코드!$A$5:$A$40,0)),"?"))</f>
        <v/>
      </c>
      <c r="C24" s="12"/>
      <c r="D24" s="11"/>
      <c r="E24" s="12"/>
      <c r="F24" s="11"/>
      <c r="G24" s="11"/>
      <c r="H24" s="12"/>
      <c r="I24" s="12"/>
      <c r="J24" s="3" t="str">
        <f>IF(A24="","",IF(LEN(A24)&lt;&gt;3,"3자리 아님",IF(SUMPRODUCT(--ISERROR(FIND(MID(A24,{1,2,3},1),"ABCDEFGHIJKLMNOPQRSTUVWXYZ0123456789")))&gt;0,"문자 오류",IF(COUNTIF(벤더코드!$A$5:$A$40,LEFT(A24,1))=0,"벤더 미등록",IF(COUNTIF($A$5:$A$60,A24)&gt;1,"중복","OK")))))</f>
        <v/>
      </c>
    </row>
    <row r="25" spans="1:10" x14ac:dyDescent="0.3">
      <c r="A25" s="11"/>
      <c r="B25" s="5" t="str">
        <f>IF(A25="","",IFERROR(INDEX(벤더코드!$B$5:$B$40,MATCH(LEFT(A25,1),벤더코드!$A$5:$A$40,0)),"?"))</f>
        <v/>
      </c>
      <c r="C25" s="12"/>
      <c r="D25" s="11"/>
      <c r="E25" s="12"/>
      <c r="F25" s="11"/>
      <c r="G25" s="11"/>
      <c r="H25" s="12"/>
      <c r="I25" s="12"/>
      <c r="J25" s="3" t="str">
        <f>IF(A25="","",IF(LEN(A25)&lt;&gt;3,"3자리 아님",IF(SUMPRODUCT(--ISERROR(FIND(MID(A25,{1,2,3},1),"ABCDEFGHIJKLMNOPQRSTUVWXYZ0123456789")))&gt;0,"문자 오류",IF(COUNTIF(벤더코드!$A$5:$A$40,LEFT(A25,1))=0,"벤더 미등록",IF(COUNTIF($A$5:$A$60,A25)&gt;1,"중복","OK")))))</f>
        <v/>
      </c>
    </row>
    <row r="26" spans="1:10" x14ac:dyDescent="0.3">
      <c r="A26" s="11"/>
      <c r="B26" s="5" t="str">
        <f>IF(A26="","",IFERROR(INDEX(벤더코드!$B$5:$B$40,MATCH(LEFT(A26,1),벤더코드!$A$5:$A$40,0)),"?"))</f>
        <v/>
      </c>
      <c r="C26" s="12"/>
      <c r="D26" s="11"/>
      <c r="E26" s="12"/>
      <c r="F26" s="11"/>
      <c r="G26" s="11"/>
      <c r="H26" s="12"/>
      <c r="I26" s="12"/>
      <c r="J26" s="3" t="str">
        <f>IF(A26="","",IF(LEN(A26)&lt;&gt;3,"3자리 아님",IF(SUMPRODUCT(--ISERROR(FIND(MID(A26,{1,2,3},1),"ABCDEFGHIJKLMNOPQRSTUVWXYZ0123456789")))&gt;0,"문자 오류",IF(COUNTIF(벤더코드!$A$5:$A$40,LEFT(A26,1))=0,"벤더 미등록",IF(COUNTIF($A$5:$A$60,A26)&gt;1,"중복","OK")))))</f>
        <v/>
      </c>
    </row>
    <row r="27" spans="1:10" x14ac:dyDescent="0.3">
      <c r="A27" s="11"/>
      <c r="B27" s="5" t="str">
        <f>IF(A27="","",IFERROR(INDEX(벤더코드!$B$5:$B$40,MATCH(LEFT(A27,1),벤더코드!$A$5:$A$40,0)),"?"))</f>
        <v/>
      </c>
      <c r="C27" s="12"/>
      <c r="D27" s="11"/>
      <c r="E27" s="12"/>
      <c r="F27" s="11"/>
      <c r="G27" s="11"/>
      <c r="H27" s="12"/>
      <c r="I27" s="12"/>
      <c r="J27" s="3" t="str">
        <f>IF(A27="","",IF(LEN(A27)&lt;&gt;3,"3자리 아님",IF(SUMPRODUCT(--ISERROR(FIND(MID(A27,{1,2,3},1),"ABCDEFGHIJKLMNOPQRSTUVWXYZ0123456789")))&gt;0,"문자 오류",IF(COUNTIF(벤더코드!$A$5:$A$40,LEFT(A27,1))=0,"벤더 미등록",IF(COUNTIF($A$5:$A$60,A27)&gt;1,"중복","OK")))))</f>
        <v/>
      </c>
    </row>
    <row r="28" spans="1:10" x14ac:dyDescent="0.3">
      <c r="A28" s="11"/>
      <c r="B28" s="5" t="str">
        <f>IF(A28="","",IFERROR(INDEX(벤더코드!$B$5:$B$40,MATCH(LEFT(A28,1),벤더코드!$A$5:$A$40,0)),"?"))</f>
        <v/>
      </c>
      <c r="C28" s="12"/>
      <c r="D28" s="11"/>
      <c r="E28" s="12"/>
      <c r="F28" s="11"/>
      <c r="G28" s="11"/>
      <c r="H28" s="12"/>
      <c r="I28" s="12"/>
      <c r="J28" s="3" t="str">
        <f>IF(A28="","",IF(LEN(A28)&lt;&gt;3,"3자리 아님",IF(SUMPRODUCT(--ISERROR(FIND(MID(A28,{1,2,3},1),"ABCDEFGHIJKLMNOPQRSTUVWXYZ0123456789")))&gt;0,"문자 오류",IF(COUNTIF(벤더코드!$A$5:$A$40,LEFT(A28,1))=0,"벤더 미등록",IF(COUNTIF($A$5:$A$60,A28)&gt;1,"중복","OK")))))</f>
        <v/>
      </c>
    </row>
    <row r="29" spans="1:10" x14ac:dyDescent="0.3">
      <c r="A29" s="11"/>
      <c r="B29" s="5" t="str">
        <f>IF(A29="","",IFERROR(INDEX(벤더코드!$B$5:$B$40,MATCH(LEFT(A29,1),벤더코드!$A$5:$A$40,0)),"?"))</f>
        <v/>
      </c>
      <c r="C29" s="12"/>
      <c r="D29" s="11"/>
      <c r="E29" s="12"/>
      <c r="F29" s="11"/>
      <c r="G29" s="11"/>
      <c r="H29" s="12"/>
      <c r="I29" s="12"/>
      <c r="J29" s="3" t="str">
        <f>IF(A29="","",IF(LEN(A29)&lt;&gt;3,"3자리 아님",IF(SUMPRODUCT(--ISERROR(FIND(MID(A29,{1,2,3},1),"ABCDEFGHIJKLMNOPQRSTUVWXYZ0123456789")))&gt;0,"문자 오류",IF(COUNTIF(벤더코드!$A$5:$A$40,LEFT(A29,1))=0,"벤더 미등록",IF(COUNTIF($A$5:$A$60,A29)&gt;1,"중복","OK")))))</f>
        <v/>
      </c>
    </row>
    <row r="30" spans="1:10" x14ac:dyDescent="0.3">
      <c r="A30" s="11"/>
      <c r="B30" s="5" t="str">
        <f>IF(A30="","",IFERROR(INDEX(벤더코드!$B$5:$B$40,MATCH(LEFT(A30,1),벤더코드!$A$5:$A$40,0)),"?"))</f>
        <v/>
      </c>
      <c r="C30" s="12"/>
      <c r="D30" s="11"/>
      <c r="E30" s="12"/>
      <c r="F30" s="11"/>
      <c r="G30" s="11"/>
      <c r="H30" s="12"/>
      <c r="I30" s="12"/>
      <c r="J30" s="3" t="str">
        <f>IF(A30="","",IF(LEN(A30)&lt;&gt;3,"3자리 아님",IF(SUMPRODUCT(--ISERROR(FIND(MID(A30,{1,2,3},1),"ABCDEFGHIJKLMNOPQRSTUVWXYZ0123456789")))&gt;0,"문자 오류",IF(COUNTIF(벤더코드!$A$5:$A$40,LEFT(A30,1))=0,"벤더 미등록",IF(COUNTIF($A$5:$A$60,A30)&gt;1,"중복","OK")))))</f>
        <v/>
      </c>
    </row>
    <row r="31" spans="1:10" x14ac:dyDescent="0.3">
      <c r="A31" s="11"/>
      <c r="B31" s="5" t="str">
        <f>IF(A31="","",IFERROR(INDEX(벤더코드!$B$5:$B$40,MATCH(LEFT(A31,1),벤더코드!$A$5:$A$40,0)),"?"))</f>
        <v/>
      </c>
      <c r="C31" s="12"/>
      <c r="D31" s="11"/>
      <c r="E31" s="12"/>
      <c r="F31" s="11"/>
      <c r="G31" s="11"/>
      <c r="H31" s="12"/>
      <c r="I31" s="12"/>
      <c r="J31" s="3" t="str">
        <f>IF(A31="","",IF(LEN(A31)&lt;&gt;3,"3자리 아님",IF(SUMPRODUCT(--ISERROR(FIND(MID(A31,{1,2,3},1),"ABCDEFGHIJKLMNOPQRSTUVWXYZ0123456789")))&gt;0,"문자 오류",IF(COUNTIF(벤더코드!$A$5:$A$40,LEFT(A31,1))=0,"벤더 미등록",IF(COUNTIF($A$5:$A$60,A31)&gt;1,"중복","OK")))))</f>
        <v/>
      </c>
    </row>
    <row r="32" spans="1:10" x14ac:dyDescent="0.3">
      <c r="A32" s="11"/>
      <c r="B32" s="5" t="str">
        <f>IF(A32="","",IFERROR(INDEX(벤더코드!$B$5:$B$40,MATCH(LEFT(A32,1),벤더코드!$A$5:$A$40,0)),"?"))</f>
        <v/>
      </c>
      <c r="C32" s="12"/>
      <c r="D32" s="11"/>
      <c r="E32" s="12"/>
      <c r="F32" s="11"/>
      <c r="G32" s="11"/>
      <c r="H32" s="12"/>
      <c r="I32" s="12"/>
      <c r="J32" s="3" t="str">
        <f>IF(A32="","",IF(LEN(A32)&lt;&gt;3,"3자리 아님",IF(SUMPRODUCT(--ISERROR(FIND(MID(A32,{1,2,3},1),"ABCDEFGHIJKLMNOPQRSTUVWXYZ0123456789")))&gt;0,"문자 오류",IF(COUNTIF(벤더코드!$A$5:$A$40,LEFT(A32,1))=0,"벤더 미등록",IF(COUNTIF($A$5:$A$60,A32)&gt;1,"중복","OK")))))</f>
        <v/>
      </c>
    </row>
    <row r="33" spans="1:10" x14ac:dyDescent="0.3">
      <c r="A33" s="11"/>
      <c r="B33" s="5" t="str">
        <f>IF(A33="","",IFERROR(INDEX(벤더코드!$B$5:$B$40,MATCH(LEFT(A33,1),벤더코드!$A$5:$A$40,0)),"?"))</f>
        <v/>
      </c>
      <c r="C33" s="12"/>
      <c r="D33" s="11"/>
      <c r="E33" s="12"/>
      <c r="F33" s="11"/>
      <c r="G33" s="11"/>
      <c r="H33" s="12"/>
      <c r="I33" s="12"/>
      <c r="J33" s="3" t="str">
        <f>IF(A33="","",IF(LEN(A33)&lt;&gt;3,"3자리 아님",IF(SUMPRODUCT(--ISERROR(FIND(MID(A33,{1,2,3},1),"ABCDEFGHIJKLMNOPQRSTUVWXYZ0123456789")))&gt;0,"문자 오류",IF(COUNTIF(벤더코드!$A$5:$A$40,LEFT(A33,1))=0,"벤더 미등록",IF(COUNTIF($A$5:$A$60,A33)&gt;1,"중복","OK")))))</f>
        <v/>
      </c>
    </row>
    <row r="34" spans="1:10" x14ac:dyDescent="0.3">
      <c r="A34" s="11"/>
      <c r="B34" s="5" t="str">
        <f>IF(A34="","",IFERROR(INDEX(벤더코드!$B$5:$B$40,MATCH(LEFT(A34,1),벤더코드!$A$5:$A$40,0)),"?"))</f>
        <v/>
      </c>
      <c r="C34" s="12"/>
      <c r="D34" s="11"/>
      <c r="E34" s="12"/>
      <c r="F34" s="11"/>
      <c r="G34" s="11"/>
      <c r="H34" s="12"/>
      <c r="I34" s="12"/>
      <c r="J34" s="3" t="str">
        <f>IF(A34="","",IF(LEN(A34)&lt;&gt;3,"3자리 아님",IF(SUMPRODUCT(--ISERROR(FIND(MID(A34,{1,2,3},1),"ABCDEFGHIJKLMNOPQRSTUVWXYZ0123456789")))&gt;0,"문자 오류",IF(COUNTIF(벤더코드!$A$5:$A$40,LEFT(A34,1))=0,"벤더 미등록",IF(COUNTIF($A$5:$A$60,A34)&gt;1,"중복","OK")))))</f>
        <v/>
      </c>
    </row>
    <row r="35" spans="1:10" x14ac:dyDescent="0.3">
      <c r="A35" s="11"/>
      <c r="B35" s="5" t="str">
        <f>IF(A35="","",IFERROR(INDEX(벤더코드!$B$5:$B$40,MATCH(LEFT(A35,1),벤더코드!$A$5:$A$40,0)),"?"))</f>
        <v/>
      </c>
      <c r="C35" s="12"/>
      <c r="D35" s="11"/>
      <c r="E35" s="12"/>
      <c r="F35" s="11"/>
      <c r="G35" s="11"/>
      <c r="H35" s="12"/>
      <c r="I35" s="12"/>
      <c r="J35" s="3" t="str">
        <f>IF(A35="","",IF(LEN(A35)&lt;&gt;3,"3자리 아님",IF(SUMPRODUCT(--ISERROR(FIND(MID(A35,{1,2,3},1),"ABCDEFGHIJKLMNOPQRSTUVWXYZ0123456789")))&gt;0,"문자 오류",IF(COUNTIF(벤더코드!$A$5:$A$40,LEFT(A35,1))=0,"벤더 미등록",IF(COUNTIF($A$5:$A$60,A35)&gt;1,"중복","OK")))))</f>
        <v/>
      </c>
    </row>
    <row r="36" spans="1:10" x14ac:dyDescent="0.3">
      <c r="A36" s="11"/>
      <c r="B36" s="5" t="str">
        <f>IF(A36="","",IFERROR(INDEX(벤더코드!$B$5:$B$40,MATCH(LEFT(A36,1),벤더코드!$A$5:$A$40,0)),"?"))</f>
        <v/>
      </c>
      <c r="C36" s="12"/>
      <c r="D36" s="11"/>
      <c r="E36" s="12"/>
      <c r="F36" s="11"/>
      <c r="G36" s="11"/>
      <c r="H36" s="12"/>
      <c r="I36" s="12"/>
      <c r="J36" s="3" t="str">
        <f>IF(A36="","",IF(LEN(A36)&lt;&gt;3,"3자리 아님",IF(SUMPRODUCT(--ISERROR(FIND(MID(A36,{1,2,3},1),"ABCDEFGHIJKLMNOPQRSTUVWXYZ0123456789")))&gt;0,"문자 오류",IF(COUNTIF(벤더코드!$A$5:$A$40,LEFT(A36,1))=0,"벤더 미등록",IF(COUNTIF($A$5:$A$60,A36)&gt;1,"중복","OK")))))</f>
        <v/>
      </c>
    </row>
    <row r="37" spans="1:10" x14ac:dyDescent="0.3">
      <c r="A37" s="11"/>
      <c r="B37" s="5" t="str">
        <f>IF(A37="","",IFERROR(INDEX(벤더코드!$B$5:$B$40,MATCH(LEFT(A37,1),벤더코드!$A$5:$A$40,0)),"?"))</f>
        <v/>
      </c>
      <c r="C37" s="12"/>
      <c r="D37" s="11"/>
      <c r="E37" s="12"/>
      <c r="F37" s="11"/>
      <c r="G37" s="11"/>
      <c r="H37" s="12"/>
      <c r="I37" s="12"/>
      <c r="J37" s="3" t="str">
        <f>IF(A37="","",IF(LEN(A37)&lt;&gt;3,"3자리 아님",IF(SUMPRODUCT(--ISERROR(FIND(MID(A37,{1,2,3},1),"ABCDEFGHIJKLMNOPQRSTUVWXYZ0123456789")))&gt;0,"문자 오류",IF(COUNTIF(벤더코드!$A$5:$A$40,LEFT(A37,1))=0,"벤더 미등록",IF(COUNTIF($A$5:$A$60,A37)&gt;1,"중복","OK")))))</f>
        <v/>
      </c>
    </row>
    <row r="38" spans="1:10" x14ac:dyDescent="0.3">
      <c r="A38" s="11"/>
      <c r="B38" s="5" t="str">
        <f>IF(A38="","",IFERROR(INDEX(벤더코드!$B$5:$B$40,MATCH(LEFT(A38,1),벤더코드!$A$5:$A$40,0)),"?"))</f>
        <v/>
      </c>
      <c r="C38" s="12"/>
      <c r="D38" s="11"/>
      <c r="E38" s="12"/>
      <c r="F38" s="11"/>
      <c r="G38" s="11"/>
      <c r="H38" s="12"/>
      <c r="I38" s="12"/>
      <c r="J38" s="3" t="str">
        <f>IF(A38="","",IF(LEN(A38)&lt;&gt;3,"3자리 아님",IF(SUMPRODUCT(--ISERROR(FIND(MID(A38,{1,2,3},1),"ABCDEFGHIJKLMNOPQRSTUVWXYZ0123456789")))&gt;0,"문자 오류",IF(COUNTIF(벤더코드!$A$5:$A$40,LEFT(A38,1))=0,"벤더 미등록",IF(COUNTIF($A$5:$A$60,A38)&gt;1,"중복","OK")))))</f>
        <v/>
      </c>
    </row>
    <row r="39" spans="1:10" x14ac:dyDescent="0.3">
      <c r="A39" s="11"/>
      <c r="B39" s="5" t="str">
        <f>IF(A39="","",IFERROR(INDEX(벤더코드!$B$5:$B$40,MATCH(LEFT(A39,1),벤더코드!$A$5:$A$40,0)),"?"))</f>
        <v/>
      </c>
      <c r="C39" s="12"/>
      <c r="D39" s="11"/>
      <c r="E39" s="12"/>
      <c r="F39" s="11"/>
      <c r="G39" s="11"/>
      <c r="H39" s="12"/>
      <c r="I39" s="12"/>
      <c r="J39" s="3" t="str">
        <f>IF(A39="","",IF(LEN(A39)&lt;&gt;3,"3자리 아님",IF(SUMPRODUCT(--ISERROR(FIND(MID(A39,{1,2,3},1),"ABCDEFGHIJKLMNOPQRSTUVWXYZ0123456789")))&gt;0,"문자 오류",IF(COUNTIF(벤더코드!$A$5:$A$40,LEFT(A39,1))=0,"벤더 미등록",IF(COUNTIF($A$5:$A$60,A39)&gt;1,"중복","OK")))))</f>
        <v/>
      </c>
    </row>
    <row r="40" spans="1:10" x14ac:dyDescent="0.3">
      <c r="A40" s="11"/>
      <c r="B40" s="5" t="str">
        <f>IF(A40="","",IFERROR(INDEX(벤더코드!$B$5:$B$40,MATCH(LEFT(A40,1),벤더코드!$A$5:$A$40,0)),"?"))</f>
        <v/>
      </c>
      <c r="C40" s="12"/>
      <c r="D40" s="11"/>
      <c r="E40" s="12"/>
      <c r="F40" s="11"/>
      <c r="G40" s="11"/>
      <c r="H40" s="12"/>
      <c r="I40" s="12"/>
      <c r="J40" s="3" t="str">
        <f>IF(A40="","",IF(LEN(A40)&lt;&gt;3,"3자리 아님",IF(SUMPRODUCT(--ISERROR(FIND(MID(A40,{1,2,3},1),"ABCDEFGHIJKLMNOPQRSTUVWXYZ0123456789")))&gt;0,"문자 오류",IF(COUNTIF(벤더코드!$A$5:$A$40,LEFT(A40,1))=0,"벤더 미등록",IF(COUNTIF($A$5:$A$60,A40)&gt;1,"중복","OK")))))</f>
        <v/>
      </c>
    </row>
    <row r="41" spans="1:10" x14ac:dyDescent="0.3">
      <c r="A41" s="11"/>
      <c r="B41" s="5" t="str">
        <f>IF(A41="","",IFERROR(INDEX(벤더코드!$B$5:$B$40,MATCH(LEFT(A41,1),벤더코드!$A$5:$A$40,0)),"?"))</f>
        <v/>
      </c>
      <c r="C41" s="12"/>
      <c r="D41" s="11"/>
      <c r="E41" s="12"/>
      <c r="F41" s="11"/>
      <c r="G41" s="11"/>
      <c r="H41" s="12"/>
      <c r="I41" s="12"/>
      <c r="J41" s="3" t="str">
        <f>IF(A41="","",IF(LEN(A41)&lt;&gt;3,"3자리 아님",IF(SUMPRODUCT(--ISERROR(FIND(MID(A41,{1,2,3},1),"ABCDEFGHIJKLMNOPQRSTUVWXYZ0123456789")))&gt;0,"문자 오류",IF(COUNTIF(벤더코드!$A$5:$A$40,LEFT(A41,1))=0,"벤더 미등록",IF(COUNTIF($A$5:$A$60,A41)&gt;1,"중복","OK")))))</f>
        <v/>
      </c>
    </row>
    <row r="42" spans="1:10" x14ac:dyDescent="0.3">
      <c r="A42" s="11"/>
      <c r="B42" s="5" t="str">
        <f>IF(A42="","",IFERROR(INDEX(벤더코드!$B$5:$B$40,MATCH(LEFT(A42,1),벤더코드!$A$5:$A$40,0)),"?"))</f>
        <v/>
      </c>
      <c r="C42" s="12"/>
      <c r="D42" s="11"/>
      <c r="E42" s="12"/>
      <c r="F42" s="11"/>
      <c r="G42" s="11"/>
      <c r="H42" s="12"/>
      <c r="I42" s="12"/>
      <c r="J42" s="3" t="str">
        <f>IF(A42="","",IF(LEN(A42)&lt;&gt;3,"3자리 아님",IF(SUMPRODUCT(--ISERROR(FIND(MID(A42,{1,2,3},1),"ABCDEFGHIJKLMNOPQRSTUVWXYZ0123456789")))&gt;0,"문자 오류",IF(COUNTIF(벤더코드!$A$5:$A$40,LEFT(A42,1))=0,"벤더 미등록",IF(COUNTIF($A$5:$A$60,A42)&gt;1,"중복","OK")))))</f>
        <v/>
      </c>
    </row>
    <row r="43" spans="1:10" x14ac:dyDescent="0.3">
      <c r="A43" s="11"/>
      <c r="B43" s="5" t="str">
        <f>IF(A43="","",IFERROR(INDEX(벤더코드!$B$5:$B$40,MATCH(LEFT(A43,1),벤더코드!$A$5:$A$40,0)),"?"))</f>
        <v/>
      </c>
      <c r="C43" s="12"/>
      <c r="D43" s="11"/>
      <c r="E43" s="12"/>
      <c r="F43" s="11"/>
      <c r="G43" s="11"/>
      <c r="H43" s="12"/>
      <c r="I43" s="12"/>
      <c r="J43" s="3" t="str">
        <f>IF(A43="","",IF(LEN(A43)&lt;&gt;3,"3자리 아님",IF(SUMPRODUCT(--ISERROR(FIND(MID(A43,{1,2,3},1),"ABCDEFGHIJKLMNOPQRSTUVWXYZ0123456789")))&gt;0,"문자 오류",IF(COUNTIF(벤더코드!$A$5:$A$40,LEFT(A43,1))=0,"벤더 미등록",IF(COUNTIF($A$5:$A$60,A43)&gt;1,"중복","OK")))))</f>
        <v/>
      </c>
    </row>
    <row r="44" spans="1:10" x14ac:dyDescent="0.3">
      <c r="A44" s="11"/>
      <c r="B44" s="5" t="str">
        <f>IF(A44="","",IFERROR(INDEX(벤더코드!$B$5:$B$40,MATCH(LEFT(A44,1),벤더코드!$A$5:$A$40,0)),"?"))</f>
        <v/>
      </c>
      <c r="C44" s="12"/>
      <c r="D44" s="11"/>
      <c r="E44" s="12"/>
      <c r="F44" s="11"/>
      <c r="G44" s="11"/>
      <c r="H44" s="12"/>
      <c r="I44" s="12"/>
      <c r="J44" s="3" t="str">
        <f>IF(A44="","",IF(LEN(A44)&lt;&gt;3,"3자리 아님",IF(SUMPRODUCT(--ISERROR(FIND(MID(A44,{1,2,3},1),"ABCDEFGHIJKLMNOPQRSTUVWXYZ0123456789")))&gt;0,"문자 오류",IF(COUNTIF(벤더코드!$A$5:$A$40,LEFT(A44,1))=0,"벤더 미등록",IF(COUNTIF($A$5:$A$60,A44)&gt;1,"중복","OK")))))</f>
        <v/>
      </c>
    </row>
    <row r="45" spans="1:10" x14ac:dyDescent="0.3">
      <c r="A45" s="11"/>
      <c r="B45" s="5" t="str">
        <f>IF(A45="","",IFERROR(INDEX(벤더코드!$B$5:$B$40,MATCH(LEFT(A45,1),벤더코드!$A$5:$A$40,0)),"?"))</f>
        <v/>
      </c>
      <c r="C45" s="12"/>
      <c r="D45" s="11"/>
      <c r="E45" s="12"/>
      <c r="F45" s="11"/>
      <c r="G45" s="11"/>
      <c r="H45" s="12"/>
      <c r="I45" s="12"/>
      <c r="J45" s="3" t="str">
        <f>IF(A45="","",IF(LEN(A45)&lt;&gt;3,"3자리 아님",IF(SUMPRODUCT(--ISERROR(FIND(MID(A45,{1,2,3},1),"ABCDEFGHIJKLMNOPQRSTUVWXYZ0123456789")))&gt;0,"문자 오류",IF(COUNTIF(벤더코드!$A$5:$A$40,LEFT(A45,1))=0,"벤더 미등록",IF(COUNTIF($A$5:$A$60,A45)&gt;1,"중복","OK")))))</f>
        <v/>
      </c>
    </row>
    <row r="46" spans="1:10" x14ac:dyDescent="0.3">
      <c r="A46" s="11"/>
      <c r="B46" s="5" t="str">
        <f>IF(A46="","",IFERROR(INDEX(벤더코드!$B$5:$B$40,MATCH(LEFT(A46,1),벤더코드!$A$5:$A$40,0)),"?"))</f>
        <v/>
      </c>
      <c r="C46" s="12"/>
      <c r="D46" s="11"/>
      <c r="E46" s="12"/>
      <c r="F46" s="11"/>
      <c r="G46" s="11"/>
      <c r="H46" s="12"/>
      <c r="I46" s="12"/>
      <c r="J46" s="3" t="str">
        <f>IF(A46="","",IF(LEN(A46)&lt;&gt;3,"3자리 아님",IF(SUMPRODUCT(--ISERROR(FIND(MID(A46,{1,2,3},1),"ABCDEFGHIJKLMNOPQRSTUVWXYZ0123456789")))&gt;0,"문자 오류",IF(COUNTIF(벤더코드!$A$5:$A$40,LEFT(A46,1))=0,"벤더 미등록",IF(COUNTIF($A$5:$A$60,A46)&gt;1,"중복","OK")))))</f>
        <v/>
      </c>
    </row>
    <row r="47" spans="1:10" x14ac:dyDescent="0.3">
      <c r="A47" s="11"/>
      <c r="B47" s="5" t="str">
        <f>IF(A47="","",IFERROR(INDEX(벤더코드!$B$5:$B$40,MATCH(LEFT(A47,1),벤더코드!$A$5:$A$40,0)),"?"))</f>
        <v/>
      </c>
      <c r="C47" s="12"/>
      <c r="D47" s="11"/>
      <c r="E47" s="12"/>
      <c r="F47" s="11"/>
      <c r="G47" s="11"/>
      <c r="H47" s="12"/>
      <c r="I47" s="12"/>
      <c r="J47" s="3" t="str">
        <f>IF(A47="","",IF(LEN(A47)&lt;&gt;3,"3자리 아님",IF(SUMPRODUCT(--ISERROR(FIND(MID(A47,{1,2,3},1),"ABCDEFGHIJKLMNOPQRSTUVWXYZ0123456789")))&gt;0,"문자 오류",IF(COUNTIF(벤더코드!$A$5:$A$40,LEFT(A47,1))=0,"벤더 미등록",IF(COUNTIF($A$5:$A$60,A47)&gt;1,"중복","OK")))))</f>
        <v/>
      </c>
    </row>
    <row r="48" spans="1:10" x14ac:dyDescent="0.3">
      <c r="A48" s="11"/>
      <c r="B48" s="5" t="str">
        <f>IF(A48="","",IFERROR(INDEX(벤더코드!$B$5:$B$40,MATCH(LEFT(A48,1),벤더코드!$A$5:$A$40,0)),"?"))</f>
        <v/>
      </c>
      <c r="C48" s="12"/>
      <c r="D48" s="11"/>
      <c r="E48" s="12"/>
      <c r="F48" s="11"/>
      <c r="G48" s="11"/>
      <c r="H48" s="12"/>
      <c r="I48" s="12"/>
      <c r="J48" s="3" t="str">
        <f>IF(A48="","",IF(LEN(A48)&lt;&gt;3,"3자리 아님",IF(SUMPRODUCT(--ISERROR(FIND(MID(A48,{1,2,3},1),"ABCDEFGHIJKLMNOPQRSTUVWXYZ0123456789")))&gt;0,"문자 오류",IF(COUNTIF(벤더코드!$A$5:$A$40,LEFT(A48,1))=0,"벤더 미등록",IF(COUNTIF($A$5:$A$60,A48)&gt;1,"중복","OK")))))</f>
        <v/>
      </c>
    </row>
    <row r="49" spans="1:10" x14ac:dyDescent="0.3">
      <c r="A49" s="11"/>
      <c r="B49" s="5" t="str">
        <f>IF(A49="","",IFERROR(INDEX(벤더코드!$B$5:$B$40,MATCH(LEFT(A49,1),벤더코드!$A$5:$A$40,0)),"?"))</f>
        <v/>
      </c>
      <c r="C49" s="12"/>
      <c r="D49" s="11"/>
      <c r="E49" s="12"/>
      <c r="F49" s="11"/>
      <c r="G49" s="11"/>
      <c r="H49" s="12"/>
      <c r="I49" s="12"/>
      <c r="J49" s="3" t="str">
        <f>IF(A49="","",IF(LEN(A49)&lt;&gt;3,"3자리 아님",IF(SUMPRODUCT(--ISERROR(FIND(MID(A49,{1,2,3},1),"ABCDEFGHIJKLMNOPQRSTUVWXYZ0123456789")))&gt;0,"문자 오류",IF(COUNTIF(벤더코드!$A$5:$A$40,LEFT(A49,1))=0,"벤더 미등록",IF(COUNTIF($A$5:$A$60,A49)&gt;1,"중복","OK")))))</f>
        <v/>
      </c>
    </row>
    <row r="50" spans="1:10" x14ac:dyDescent="0.3">
      <c r="A50" s="11"/>
      <c r="B50" s="5" t="str">
        <f>IF(A50="","",IFERROR(INDEX(벤더코드!$B$5:$B$40,MATCH(LEFT(A50,1),벤더코드!$A$5:$A$40,0)),"?"))</f>
        <v/>
      </c>
      <c r="C50" s="12"/>
      <c r="D50" s="11"/>
      <c r="E50" s="12"/>
      <c r="F50" s="11"/>
      <c r="G50" s="11"/>
      <c r="H50" s="12"/>
      <c r="I50" s="12"/>
      <c r="J50" s="3" t="str">
        <f>IF(A50="","",IF(LEN(A50)&lt;&gt;3,"3자리 아님",IF(SUMPRODUCT(--ISERROR(FIND(MID(A50,{1,2,3},1),"ABCDEFGHIJKLMNOPQRSTUVWXYZ0123456789")))&gt;0,"문자 오류",IF(COUNTIF(벤더코드!$A$5:$A$40,LEFT(A50,1))=0,"벤더 미등록",IF(COUNTIF($A$5:$A$60,A50)&gt;1,"중복","OK")))))</f>
        <v/>
      </c>
    </row>
    <row r="51" spans="1:10" x14ac:dyDescent="0.3">
      <c r="A51" s="11"/>
      <c r="B51" s="5" t="str">
        <f>IF(A51="","",IFERROR(INDEX(벤더코드!$B$5:$B$40,MATCH(LEFT(A51,1),벤더코드!$A$5:$A$40,0)),"?"))</f>
        <v/>
      </c>
      <c r="C51" s="12"/>
      <c r="D51" s="11"/>
      <c r="E51" s="12"/>
      <c r="F51" s="11"/>
      <c r="G51" s="11"/>
      <c r="H51" s="12"/>
      <c r="I51" s="12"/>
      <c r="J51" s="3" t="str">
        <f>IF(A51="","",IF(LEN(A51)&lt;&gt;3,"3자리 아님",IF(SUMPRODUCT(--ISERROR(FIND(MID(A51,{1,2,3},1),"ABCDEFGHIJKLMNOPQRSTUVWXYZ0123456789")))&gt;0,"문자 오류",IF(COUNTIF(벤더코드!$A$5:$A$40,LEFT(A51,1))=0,"벤더 미등록",IF(COUNTIF($A$5:$A$60,A51)&gt;1,"중복","OK")))))</f>
        <v/>
      </c>
    </row>
    <row r="52" spans="1:10" x14ac:dyDescent="0.3">
      <c r="A52" s="11"/>
      <c r="B52" s="5" t="str">
        <f>IF(A52="","",IFERROR(INDEX(벤더코드!$B$5:$B$40,MATCH(LEFT(A52,1),벤더코드!$A$5:$A$40,0)),"?"))</f>
        <v/>
      </c>
      <c r="C52" s="12"/>
      <c r="D52" s="11"/>
      <c r="E52" s="12"/>
      <c r="F52" s="11"/>
      <c r="G52" s="11"/>
      <c r="H52" s="12"/>
      <c r="I52" s="12"/>
      <c r="J52" s="3" t="str">
        <f>IF(A52="","",IF(LEN(A52)&lt;&gt;3,"3자리 아님",IF(SUMPRODUCT(--ISERROR(FIND(MID(A52,{1,2,3},1),"ABCDEFGHIJKLMNOPQRSTUVWXYZ0123456789")))&gt;0,"문자 오류",IF(COUNTIF(벤더코드!$A$5:$A$40,LEFT(A52,1))=0,"벤더 미등록",IF(COUNTIF($A$5:$A$60,A52)&gt;1,"중복","OK")))))</f>
        <v/>
      </c>
    </row>
    <row r="53" spans="1:10" x14ac:dyDescent="0.3">
      <c r="A53" s="11"/>
      <c r="B53" s="5" t="str">
        <f>IF(A53="","",IFERROR(INDEX(벤더코드!$B$5:$B$40,MATCH(LEFT(A53,1),벤더코드!$A$5:$A$40,0)),"?"))</f>
        <v/>
      </c>
      <c r="C53" s="12"/>
      <c r="D53" s="11"/>
      <c r="E53" s="12"/>
      <c r="F53" s="11"/>
      <c r="G53" s="11"/>
      <c r="H53" s="12"/>
      <c r="I53" s="12"/>
      <c r="J53" s="3" t="str">
        <f>IF(A53="","",IF(LEN(A53)&lt;&gt;3,"3자리 아님",IF(SUMPRODUCT(--ISERROR(FIND(MID(A53,{1,2,3},1),"ABCDEFGHIJKLMNOPQRSTUVWXYZ0123456789")))&gt;0,"문자 오류",IF(COUNTIF(벤더코드!$A$5:$A$40,LEFT(A53,1))=0,"벤더 미등록",IF(COUNTIF($A$5:$A$60,A53)&gt;1,"중복","OK")))))</f>
        <v/>
      </c>
    </row>
    <row r="54" spans="1:10" x14ac:dyDescent="0.3">
      <c r="A54" s="11"/>
      <c r="B54" s="5" t="str">
        <f>IF(A54="","",IFERROR(INDEX(벤더코드!$B$5:$B$40,MATCH(LEFT(A54,1),벤더코드!$A$5:$A$40,0)),"?"))</f>
        <v/>
      </c>
      <c r="C54" s="12"/>
      <c r="D54" s="11"/>
      <c r="E54" s="12"/>
      <c r="F54" s="11"/>
      <c r="G54" s="11"/>
      <c r="H54" s="12"/>
      <c r="I54" s="12"/>
      <c r="J54" s="3" t="str">
        <f>IF(A54="","",IF(LEN(A54)&lt;&gt;3,"3자리 아님",IF(SUMPRODUCT(--ISERROR(FIND(MID(A54,{1,2,3},1),"ABCDEFGHIJKLMNOPQRSTUVWXYZ0123456789")))&gt;0,"문자 오류",IF(COUNTIF(벤더코드!$A$5:$A$40,LEFT(A54,1))=0,"벤더 미등록",IF(COUNTIF($A$5:$A$60,A54)&gt;1,"중복","OK")))))</f>
        <v/>
      </c>
    </row>
    <row r="55" spans="1:10" x14ac:dyDescent="0.3">
      <c r="A55" s="11"/>
      <c r="B55" s="5" t="str">
        <f>IF(A55="","",IFERROR(INDEX(벤더코드!$B$5:$B$40,MATCH(LEFT(A55,1),벤더코드!$A$5:$A$40,0)),"?"))</f>
        <v/>
      </c>
      <c r="C55" s="12"/>
      <c r="D55" s="11"/>
      <c r="E55" s="12"/>
      <c r="F55" s="11"/>
      <c r="G55" s="11"/>
      <c r="H55" s="12"/>
      <c r="I55" s="12"/>
      <c r="J55" s="3" t="str">
        <f>IF(A55="","",IF(LEN(A55)&lt;&gt;3,"3자리 아님",IF(SUMPRODUCT(--ISERROR(FIND(MID(A55,{1,2,3},1),"ABCDEFGHIJKLMNOPQRSTUVWXYZ0123456789")))&gt;0,"문자 오류",IF(COUNTIF(벤더코드!$A$5:$A$40,LEFT(A55,1))=0,"벤더 미등록",IF(COUNTIF($A$5:$A$60,A55)&gt;1,"중복","OK")))))</f>
        <v/>
      </c>
    </row>
    <row r="56" spans="1:10" x14ac:dyDescent="0.3">
      <c r="A56" s="11"/>
      <c r="B56" s="5" t="str">
        <f>IF(A56="","",IFERROR(INDEX(벤더코드!$B$5:$B$40,MATCH(LEFT(A56,1),벤더코드!$A$5:$A$40,0)),"?"))</f>
        <v/>
      </c>
      <c r="C56" s="12"/>
      <c r="D56" s="11"/>
      <c r="E56" s="12"/>
      <c r="F56" s="11"/>
      <c r="G56" s="11"/>
      <c r="H56" s="12"/>
      <c r="I56" s="12"/>
      <c r="J56" s="3" t="str">
        <f>IF(A56="","",IF(LEN(A56)&lt;&gt;3,"3자리 아님",IF(SUMPRODUCT(--ISERROR(FIND(MID(A56,{1,2,3},1),"ABCDEFGHIJKLMNOPQRSTUVWXYZ0123456789")))&gt;0,"문자 오류",IF(COUNTIF(벤더코드!$A$5:$A$40,LEFT(A56,1))=0,"벤더 미등록",IF(COUNTIF($A$5:$A$60,A56)&gt;1,"중복","OK")))))</f>
        <v/>
      </c>
    </row>
    <row r="57" spans="1:10" x14ac:dyDescent="0.3">
      <c r="A57" s="11"/>
      <c r="B57" s="5" t="str">
        <f>IF(A57="","",IFERROR(INDEX(벤더코드!$B$5:$B$40,MATCH(LEFT(A57,1),벤더코드!$A$5:$A$40,0)),"?"))</f>
        <v/>
      </c>
      <c r="C57" s="12"/>
      <c r="D57" s="11"/>
      <c r="E57" s="12"/>
      <c r="F57" s="11"/>
      <c r="G57" s="11"/>
      <c r="H57" s="12"/>
      <c r="I57" s="12"/>
      <c r="J57" s="3" t="str">
        <f>IF(A57="","",IF(LEN(A57)&lt;&gt;3,"3자리 아님",IF(SUMPRODUCT(--ISERROR(FIND(MID(A57,{1,2,3},1),"ABCDEFGHIJKLMNOPQRSTUVWXYZ0123456789")))&gt;0,"문자 오류",IF(COUNTIF(벤더코드!$A$5:$A$40,LEFT(A57,1))=0,"벤더 미등록",IF(COUNTIF($A$5:$A$60,A57)&gt;1,"중복","OK")))))</f>
        <v/>
      </c>
    </row>
    <row r="58" spans="1:10" x14ac:dyDescent="0.3">
      <c r="A58" s="11"/>
      <c r="B58" s="5" t="str">
        <f>IF(A58="","",IFERROR(INDEX(벤더코드!$B$5:$B$40,MATCH(LEFT(A58,1),벤더코드!$A$5:$A$40,0)),"?"))</f>
        <v/>
      </c>
      <c r="C58" s="12"/>
      <c r="D58" s="11"/>
      <c r="E58" s="12"/>
      <c r="F58" s="11"/>
      <c r="G58" s="11"/>
      <c r="H58" s="12"/>
      <c r="I58" s="12"/>
      <c r="J58" s="3" t="str">
        <f>IF(A58="","",IF(LEN(A58)&lt;&gt;3,"3자리 아님",IF(SUMPRODUCT(--ISERROR(FIND(MID(A58,{1,2,3},1),"ABCDEFGHIJKLMNOPQRSTUVWXYZ0123456789")))&gt;0,"문자 오류",IF(COUNTIF(벤더코드!$A$5:$A$40,LEFT(A58,1))=0,"벤더 미등록",IF(COUNTIF($A$5:$A$60,A58)&gt;1,"중복","OK")))))</f>
        <v/>
      </c>
    </row>
    <row r="59" spans="1:10" x14ac:dyDescent="0.3">
      <c r="A59" s="11"/>
      <c r="B59" s="5" t="str">
        <f>IF(A59="","",IFERROR(INDEX(벤더코드!$B$5:$B$40,MATCH(LEFT(A59,1),벤더코드!$A$5:$A$40,0)),"?"))</f>
        <v/>
      </c>
      <c r="C59" s="12"/>
      <c r="D59" s="11"/>
      <c r="E59" s="12"/>
      <c r="F59" s="11"/>
      <c r="G59" s="11"/>
      <c r="H59" s="12"/>
      <c r="I59" s="12"/>
      <c r="J59" s="3" t="str">
        <f>IF(A59="","",IF(LEN(A59)&lt;&gt;3,"3자리 아님",IF(SUMPRODUCT(--ISERROR(FIND(MID(A59,{1,2,3},1),"ABCDEFGHIJKLMNOPQRSTUVWXYZ0123456789")))&gt;0,"문자 오류",IF(COUNTIF(벤더코드!$A$5:$A$40,LEFT(A59,1))=0,"벤더 미등록",IF(COUNTIF($A$5:$A$60,A59)&gt;1,"중복","OK")))))</f>
        <v/>
      </c>
    </row>
    <row r="60" spans="1:10" x14ac:dyDescent="0.3">
      <c r="A60" s="11"/>
      <c r="B60" s="5" t="str">
        <f>IF(A60="","",IFERROR(INDEX(벤더코드!$B$5:$B$40,MATCH(LEFT(A60,1),벤더코드!$A$5:$A$40,0)),"?"))</f>
        <v/>
      </c>
      <c r="C60" s="12"/>
      <c r="D60" s="11"/>
      <c r="E60" s="12"/>
      <c r="F60" s="11"/>
      <c r="G60" s="11"/>
      <c r="H60" s="12"/>
      <c r="I60" s="12"/>
      <c r="J60" s="3" t="str">
        <f>IF(A60="","",IF(LEN(A60)&lt;&gt;3,"3자리 아님",IF(SUMPRODUCT(--ISERROR(FIND(MID(A60,{1,2,3},1),"ABCDEFGHIJKLMNOPQRSTUVWXYZ0123456789")))&gt;0,"문자 오류",IF(COUNTIF(벤더코드!$A$5:$A$40,LEFT(A60,1))=0,"벤더 미등록",IF(COUNTIF($A$5:$A$60,A60)&gt;1,"중복","OK")))))</f>
        <v/>
      </c>
    </row>
  </sheetData>
  <autoFilter ref="A4:J60" xr:uid="{00000000-0009-0000-0000-000004000000}"/>
  <mergeCells count="1">
    <mergeCell ref="A2:J2"/>
  </mergeCells>
  <phoneticPr fontId="7" type="noConversion"/>
  <conditionalFormatting sqref="J5:J60">
    <cfRule type="expression" dxfId="5" priority="1">
      <formula>AND(J5&lt;&gt;"",J5&lt;&gt;"OK")</formula>
    </cfRule>
    <cfRule type="expression" dxfId="4" priority="2">
      <formula>J5="OK"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코드목록!$A$2:$A$20</xm:f>
          </x14:formula1>
          <xm:sqref>G5:G60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0" customWidth="1"/>
    <col min="2" max="2" width="24" customWidth="1"/>
    <col min="3" max="3" width="30" customWidth="1"/>
    <col min="4" max="4" width="34" customWidth="1"/>
    <col min="5" max="5" width="11" customWidth="1"/>
    <col min="6" max="6" width="10" customWidth="1"/>
    <col min="7" max="7" width="12" customWidth="1"/>
    <col min="8" max="8" width="36" customWidth="1"/>
    <col min="9" max="9" width="12" customWidth="1"/>
  </cols>
  <sheetData>
    <row r="1" spans="1:9" ht="18.75" x14ac:dyDescent="0.3">
      <c r="A1" s="1" t="s">
        <v>160</v>
      </c>
    </row>
    <row r="2" spans="1:9" ht="30" customHeight="1" x14ac:dyDescent="0.3">
      <c r="A2" s="16" t="s">
        <v>161</v>
      </c>
      <c r="B2" s="17"/>
      <c r="C2" s="17"/>
      <c r="D2" s="17"/>
      <c r="E2" s="17"/>
      <c r="F2" s="17"/>
      <c r="G2" s="17"/>
      <c r="H2" s="17"/>
      <c r="I2" s="17"/>
    </row>
    <row r="4" spans="1:9" ht="32.1" customHeight="1" x14ac:dyDescent="0.3">
      <c r="A4" s="2" t="s">
        <v>162</v>
      </c>
      <c r="B4" s="2" t="s">
        <v>163</v>
      </c>
      <c r="C4" s="2" t="s">
        <v>164</v>
      </c>
      <c r="D4" s="2" t="s">
        <v>165</v>
      </c>
      <c r="E4" s="2" t="s">
        <v>166</v>
      </c>
      <c r="F4" s="2" t="s">
        <v>5</v>
      </c>
      <c r="G4" s="2" t="s">
        <v>16</v>
      </c>
      <c r="H4" s="2" t="s">
        <v>122</v>
      </c>
      <c r="I4" s="2" t="s">
        <v>123</v>
      </c>
    </row>
    <row r="5" spans="1:9" x14ac:dyDescent="0.3">
      <c r="A5" s="4" t="s">
        <v>167</v>
      </c>
      <c r="B5" s="6" t="s">
        <v>168</v>
      </c>
      <c r="C5" s="6" t="s">
        <v>169</v>
      </c>
      <c r="D5" s="6" t="s">
        <v>170</v>
      </c>
      <c r="E5" s="4" t="s">
        <v>171</v>
      </c>
      <c r="F5" s="4" t="s">
        <v>24</v>
      </c>
      <c r="G5" s="6" t="s">
        <v>32</v>
      </c>
      <c r="H5" s="6" t="s">
        <v>172</v>
      </c>
      <c r="I5" s="3" t="str">
        <f>IF(A5="","",IF(LEN(A5)&lt;&gt;2,"2자리 아님",IF(SUMPRODUCT(--ISERROR(FIND(MID(A5,{1,2},1),"ABCDEFGHIJKLMNOPQRSTUVWXYZ")))&gt;0,"문자 오류",IF(COUNTIF($A$5:$A$40,A5)&gt;1,"중복","OK"))))</f>
        <v>OK</v>
      </c>
    </row>
    <row r="6" spans="1:9" x14ac:dyDescent="0.3">
      <c r="A6" s="4" t="s">
        <v>173</v>
      </c>
      <c r="B6" s="6" t="s">
        <v>174</v>
      </c>
      <c r="C6" s="6" t="s">
        <v>175</v>
      </c>
      <c r="D6" s="6" t="s">
        <v>176</v>
      </c>
      <c r="E6" s="4" t="s">
        <v>171</v>
      </c>
      <c r="F6" s="4" t="s">
        <v>39</v>
      </c>
      <c r="G6" s="6" t="s">
        <v>32</v>
      </c>
      <c r="H6" s="6" t="s">
        <v>177</v>
      </c>
      <c r="I6" s="3" t="str">
        <f>IF(A6="","",IF(LEN(A6)&lt;&gt;2,"2자리 아님",IF(SUMPRODUCT(--ISERROR(FIND(MID(A6,{1,2},1),"ABCDEFGHIJKLMNOPQRSTUVWXYZ")))&gt;0,"문자 오류",IF(COUNTIF($A$5:$A$40,A6)&gt;1,"중복","OK"))))</f>
        <v>OK</v>
      </c>
    </row>
    <row r="7" spans="1:9" ht="25.5" x14ac:dyDescent="0.3">
      <c r="A7" s="4" t="s">
        <v>178</v>
      </c>
      <c r="B7" s="6" t="s">
        <v>179</v>
      </c>
      <c r="C7" s="6" t="s">
        <v>180</v>
      </c>
      <c r="D7" s="6" t="s">
        <v>181</v>
      </c>
      <c r="E7" s="4" t="s">
        <v>171</v>
      </c>
      <c r="F7" s="4" t="s">
        <v>39</v>
      </c>
      <c r="G7" s="6" t="s">
        <v>32</v>
      </c>
      <c r="H7" s="6"/>
      <c r="I7" s="3" t="str">
        <f>IF(A7="","",IF(LEN(A7)&lt;&gt;2,"2자리 아님",IF(SUMPRODUCT(--ISERROR(FIND(MID(A7,{1,2},1),"ABCDEFGHIJKLMNOPQRSTUVWXYZ")))&gt;0,"문자 오류",IF(COUNTIF($A$5:$A$40,A7)&gt;1,"중복","OK"))))</f>
        <v>OK</v>
      </c>
    </row>
    <row r="8" spans="1:9" ht="25.5" x14ac:dyDescent="0.3">
      <c r="A8" s="4" t="s">
        <v>182</v>
      </c>
      <c r="B8" s="6" t="s">
        <v>183</v>
      </c>
      <c r="C8" s="6" t="s">
        <v>184</v>
      </c>
      <c r="D8" s="6" t="s">
        <v>184</v>
      </c>
      <c r="E8" s="4" t="s">
        <v>185</v>
      </c>
      <c r="F8" s="4" t="s">
        <v>24</v>
      </c>
      <c r="G8" s="6" t="s">
        <v>32</v>
      </c>
      <c r="H8" s="6" t="s">
        <v>186</v>
      </c>
      <c r="I8" s="3" t="str">
        <f>IF(A8="","",IF(LEN(A8)&lt;&gt;2,"2자리 아님",IF(SUMPRODUCT(--ISERROR(FIND(MID(A8,{1,2},1),"ABCDEFGHIJKLMNOPQRSTUVWXYZ")))&gt;0,"문자 오류",IF(COUNTIF($A$5:$A$40,A8)&gt;1,"중복","OK"))))</f>
        <v>OK</v>
      </c>
    </row>
    <row r="9" spans="1:9" x14ac:dyDescent="0.3">
      <c r="A9" s="11"/>
      <c r="B9" s="12"/>
      <c r="C9" s="12"/>
      <c r="D9" s="12"/>
      <c r="E9" s="11"/>
      <c r="F9" s="11"/>
      <c r="G9" s="12"/>
      <c r="H9" s="12"/>
      <c r="I9" s="3" t="str">
        <f>IF(A9="","",IF(LEN(A9)&lt;&gt;2,"2자리 아님",IF(SUMPRODUCT(--ISERROR(FIND(MID(A9,{1,2},1),"ABCDEFGHIJKLMNOPQRSTUVWXYZ")))&gt;0,"문자 오류",IF(COUNTIF($A$5:$A$40,A9)&gt;1,"중복","OK"))))</f>
        <v/>
      </c>
    </row>
    <row r="10" spans="1:9" x14ac:dyDescent="0.3">
      <c r="A10" s="11"/>
      <c r="B10" s="12"/>
      <c r="C10" s="12"/>
      <c r="D10" s="12"/>
      <c r="E10" s="11"/>
      <c r="F10" s="11"/>
      <c r="G10" s="12"/>
      <c r="H10" s="12"/>
      <c r="I10" s="3" t="str">
        <f>IF(A10="","",IF(LEN(A10)&lt;&gt;2,"2자리 아님",IF(SUMPRODUCT(--ISERROR(FIND(MID(A10,{1,2},1),"ABCDEFGHIJKLMNOPQRSTUVWXYZ")))&gt;0,"문자 오류",IF(COUNTIF($A$5:$A$40,A10)&gt;1,"중복","OK"))))</f>
        <v/>
      </c>
    </row>
    <row r="11" spans="1:9" x14ac:dyDescent="0.3">
      <c r="A11" s="11"/>
      <c r="B11" s="12"/>
      <c r="C11" s="12"/>
      <c r="D11" s="12"/>
      <c r="E11" s="11"/>
      <c r="F11" s="11"/>
      <c r="G11" s="12"/>
      <c r="H11" s="12"/>
      <c r="I11" s="3" t="str">
        <f>IF(A11="","",IF(LEN(A11)&lt;&gt;2,"2자리 아님",IF(SUMPRODUCT(--ISERROR(FIND(MID(A11,{1,2},1),"ABCDEFGHIJKLMNOPQRSTUVWXYZ")))&gt;0,"문자 오류",IF(COUNTIF($A$5:$A$40,A11)&gt;1,"중복","OK"))))</f>
        <v/>
      </c>
    </row>
    <row r="12" spans="1:9" x14ac:dyDescent="0.3">
      <c r="A12" s="11"/>
      <c r="B12" s="12"/>
      <c r="C12" s="12"/>
      <c r="D12" s="12"/>
      <c r="E12" s="11"/>
      <c r="F12" s="11"/>
      <c r="G12" s="12"/>
      <c r="H12" s="12"/>
      <c r="I12" s="3" t="str">
        <f>IF(A12="","",IF(LEN(A12)&lt;&gt;2,"2자리 아님",IF(SUMPRODUCT(--ISERROR(FIND(MID(A12,{1,2},1),"ABCDEFGHIJKLMNOPQRSTUVWXYZ")))&gt;0,"문자 오류",IF(COUNTIF($A$5:$A$40,A12)&gt;1,"중복","OK"))))</f>
        <v/>
      </c>
    </row>
    <row r="13" spans="1:9" x14ac:dyDescent="0.3">
      <c r="A13" s="11"/>
      <c r="B13" s="12"/>
      <c r="C13" s="12"/>
      <c r="D13" s="12"/>
      <c r="E13" s="11"/>
      <c r="F13" s="11"/>
      <c r="G13" s="12"/>
      <c r="H13" s="12"/>
      <c r="I13" s="3" t="str">
        <f>IF(A13="","",IF(LEN(A13)&lt;&gt;2,"2자리 아님",IF(SUMPRODUCT(--ISERROR(FIND(MID(A13,{1,2},1),"ABCDEFGHIJKLMNOPQRSTUVWXYZ")))&gt;0,"문자 오류",IF(COUNTIF($A$5:$A$40,A13)&gt;1,"중복","OK"))))</f>
        <v/>
      </c>
    </row>
    <row r="14" spans="1:9" x14ac:dyDescent="0.3">
      <c r="A14" s="11"/>
      <c r="B14" s="12"/>
      <c r="C14" s="12"/>
      <c r="D14" s="12"/>
      <c r="E14" s="11"/>
      <c r="F14" s="11"/>
      <c r="G14" s="12"/>
      <c r="H14" s="12"/>
      <c r="I14" s="3" t="str">
        <f>IF(A14="","",IF(LEN(A14)&lt;&gt;2,"2자리 아님",IF(SUMPRODUCT(--ISERROR(FIND(MID(A14,{1,2},1),"ABCDEFGHIJKLMNOPQRSTUVWXYZ")))&gt;0,"문자 오류",IF(COUNTIF($A$5:$A$40,A14)&gt;1,"중복","OK"))))</f>
        <v/>
      </c>
    </row>
    <row r="15" spans="1:9" x14ac:dyDescent="0.3">
      <c r="A15" s="11"/>
      <c r="B15" s="12"/>
      <c r="C15" s="12"/>
      <c r="D15" s="12"/>
      <c r="E15" s="11"/>
      <c r="F15" s="11"/>
      <c r="G15" s="12"/>
      <c r="H15" s="12"/>
      <c r="I15" s="3" t="str">
        <f>IF(A15="","",IF(LEN(A15)&lt;&gt;2,"2자리 아님",IF(SUMPRODUCT(--ISERROR(FIND(MID(A15,{1,2},1),"ABCDEFGHIJKLMNOPQRSTUVWXYZ")))&gt;0,"문자 오류",IF(COUNTIF($A$5:$A$40,A15)&gt;1,"중복","OK"))))</f>
        <v/>
      </c>
    </row>
    <row r="16" spans="1:9" x14ac:dyDescent="0.3">
      <c r="A16" s="11"/>
      <c r="B16" s="12"/>
      <c r="C16" s="12"/>
      <c r="D16" s="12"/>
      <c r="E16" s="11"/>
      <c r="F16" s="11"/>
      <c r="G16" s="12"/>
      <c r="H16" s="12"/>
      <c r="I16" s="3" t="str">
        <f>IF(A16="","",IF(LEN(A16)&lt;&gt;2,"2자리 아님",IF(SUMPRODUCT(--ISERROR(FIND(MID(A16,{1,2},1),"ABCDEFGHIJKLMNOPQRSTUVWXYZ")))&gt;0,"문자 오류",IF(COUNTIF($A$5:$A$40,A16)&gt;1,"중복","OK"))))</f>
        <v/>
      </c>
    </row>
    <row r="17" spans="1:9" x14ac:dyDescent="0.3">
      <c r="A17" s="11"/>
      <c r="B17" s="12"/>
      <c r="C17" s="12"/>
      <c r="D17" s="12"/>
      <c r="E17" s="11"/>
      <c r="F17" s="11"/>
      <c r="G17" s="12"/>
      <c r="H17" s="12"/>
      <c r="I17" s="3" t="str">
        <f>IF(A17="","",IF(LEN(A17)&lt;&gt;2,"2자리 아님",IF(SUMPRODUCT(--ISERROR(FIND(MID(A17,{1,2},1),"ABCDEFGHIJKLMNOPQRSTUVWXYZ")))&gt;0,"문자 오류",IF(COUNTIF($A$5:$A$40,A17)&gt;1,"중복","OK"))))</f>
        <v/>
      </c>
    </row>
    <row r="18" spans="1:9" x14ac:dyDescent="0.3">
      <c r="A18" s="11"/>
      <c r="B18" s="12"/>
      <c r="C18" s="12"/>
      <c r="D18" s="12"/>
      <c r="E18" s="11"/>
      <c r="F18" s="11"/>
      <c r="G18" s="12"/>
      <c r="H18" s="12"/>
      <c r="I18" s="3" t="str">
        <f>IF(A18="","",IF(LEN(A18)&lt;&gt;2,"2자리 아님",IF(SUMPRODUCT(--ISERROR(FIND(MID(A18,{1,2},1),"ABCDEFGHIJKLMNOPQRSTUVWXYZ")))&gt;0,"문자 오류",IF(COUNTIF($A$5:$A$40,A18)&gt;1,"중복","OK"))))</f>
        <v/>
      </c>
    </row>
    <row r="19" spans="1:9" x14ac:dyDescent="0.3">
      <c r="A19" s="11"/>
      <c r="B19" s="12"/>
      <c r="C19" s="12"/>
      <c r="D19" s="12"/>
      <c r="E19" s="11"/>
      <c r="F19" s="11"/>
      <c r="G19" s="12"/>
      <c r="H19" s="12"/>
      <c r="I19" s="3" t="str">
        <f>IF(A19="","",IF(LEN(A19)&lt;&gt;2,"2자리 아님",IF(SUMPRODUCT(--ISERROR(FIND(MID(A19,{1,2},1),"ABCDEFGHIJKLMNOPQRSTUVWXYZ")))&gt;0,"문자 오류",IF(COUNTIF($A$5:$A$40,A19)&gt;1,"중복","OK"))))</f>
        <v/>
      </c>
    </row>
    <row r="20" spans="1:9" x14ac:dyDescent="0.3">
      <c r="A20" s="11"/>
      <c r="B20" s="12"/>
      <c r="C20" s="12"/>
      <c r="D20" s="12"/>
      <c r="E20" s="11"/>
      <c r="F20" s="11"/>
      <c r="G20" s="12"/>
      <c r="H20" s="12"/>
      <c r="I20" s="3" t="str">
        <f>IF(A20="","",IF(LEN(A20)&lt;&gt;2,"2자리 아님",IF(SUMPRODUCT(--ISERROR(FIND(MID(A20,{1,2},1),"ABCDEFGHIJKLMNOPQRSTUVWXYZ")))&gt;0,"문자 오류",IF(COUNTIF($A$5:$A$40,A20)&gt;1,"중복","OK"))))</f>
        <v/>
      </c>
    </row>
    <row r="21" spans="1:9" x14ac:dyDescent="0.3">
      <c r="A21" s="11"/>
      <c r="B21" s="12"/>
      <c r="C21" s="12"/>
      <c r="D21" s="12"/>
      <c r="E21" s="11"/>
      <c r="F21" s="11"/>
      <c r="G21" s="12"/>
      <c r="H21" s="12"/>
      <c r="I21" s="3" t="str">
        <f>IF(A21="","",IF(LEN(A21)&lt;&gt;2,"2자리 아님",IF(SUMPRODUCT(--ISERROR(FIND(MID(A21,{1,2},1),"ABCDEFGHIJKLMNOPQRSTUVWXYZ")))&gt;0,"문자 오류",IF(COUNTIF($A$5:$A$40,A21)&gt;1,"중복","OK"))))</f>
        <v/>
      </c>
    </row>
    <row r="22" spans="1:9" x14ac:dyDescent="0.3">
      <c r="A22" s="11"/>
      <c r="B22" s="12"/>
      <c r="C22" s="12"/>
      <c r="D22" s="12"/>
      <c r="E22" s="11"/>
      <c r="F22" s="11"/>
      <c r="G22" s="12"/>
      <c r="H22" s="12"/>
      <c r="I22" s="3" t="str">
        <f>IF(A22="","",IF(LEN(A22)&lt;&gt;2,"2자리 아님",IF(SUMPRODUCT(--ISERROR(FIND(MID(A22,{1,2},1),"ABCDEFGHIJKLMNOPQRSTUVWXYZ")))&gt;0,"문자 오류",IF(COUNTIF($A$5:$A$40,A22)&gt;1,"중복","OK"))))</f>
        <v/>
      </c>
    </row>
    <row r="23" spans="1:9" x14ac:dyDescent="0.3">
      <c r="A23" s="11"/>
      <c r="B23" s="12"/>
      <c r="C23" s="12"/>
      <c r="D23" s="12"/>
      <c r="E23" s="11"/>
      <c r="F23" s="11"/>
      <c r="G23" s="12"/>
      <c r="H23" s="12"/>
      <c r="I23" s="3" t="str">
        <f>IF(A23="","",IF(LEN(A23)&lt;&gt;2,"2자리 아님",IF(SUMPRODUCT(--ISERROR(FIND(MID(A23,{1,2},1),"ABCDEFGHIJKLMNOPQRSTUVWXYZ")))&gt;0,"문자 오류",IF(COUNTIF($A$5:$A$40,A23)&gt;1,"중복","OK"))))</f>
        <v/>
      </c>
    </row>
    <row r="24" spans="1:9" x14ac:dyDescent="0.3">
      <c r="A24" s="11"/>
      <c r="B24" s="12"/>
      <c r="C24" s="12"/>
      <c r="D24" s="12"/>
      <c r="E24" s="11"/>
      <c r="F24" s="11"/>
      <c r="G24" s="12"/>
      <c r="H24" s="12"/>
      <c r="I24" s="3" t="str">
        <f>IF(A24="","",IF(LEN(A24)&lt;&gt;2,"2자리 아님",IF(SUMPRODUCT(--ISERROR(FIND(MID(A24,{1,2},1),"ABCDEFGHIJKLMNOPQRSTUVWXYZ")))&gt;0,"문자 오류",IF(COUNTIF($A$5:$A$40,A24)&gt;1,"중복","OK"))))</f>
        <v/>
      </c>
    </row>
    <row r="25" spans="1:9" x14ac:dyDescent="0.3">
      <c r="A25" s="11"/>
      <c r="B25" s="12"/>
      <c r="C25" s="12"/>
      <c r="D25" s="12"/>
      <c r="E25" s="11"/>
      <c r="F25" s="11"/>
      <c r="G25" s="12"/>
      <c r="H25" s="12"/>
      <c r="I25" s="3" t="str">
        <f>IF(A25="","",IF(LEN(A25)&lt;&gt;2,"2자리 아님",IF(SUMPRODUCT(--ISERROR(FIND(MID(A25,{1,2},1),"ABCDEFGHIJKLMNOPQRSTUVWXYZ")))&gt;0,"문자 오류",IF(COUNTIF($A$5:$A$40,A25)&gt;1,"중복","OK"))))</f>
        <v/>
      </c>
    </row>
    <row r="26" spans="1:9" x14ac:dyDescent="0.3">
      <c r="A26" s="11"/>
      <c r="B26" s="12"/>
      <c r="C26" s="12"/>
      <c r="D26" s="12"/>
      <c r="E26" s="11"/>
      <c r="F26" s="11"/>
      <c r="G26" s="12"/>
      <c r="H26" s="12"/>
      <c r="I26" s="3" t="str">
        <f>IF(A26="","",IF(LEN(A26)&lt;&gt;2,"2자리 아님",IF(SUMPRODUCT(--ISERROR(FIND(MID(A26,{1,2},1),"ABCDEFGHIJKLMNOPQRSTUVWXYZ")))&gt;0,"문자 오류",IF(COUNTIF($A$5:$A$40,A26)&gt;1,"중복","OK"))))</f>
        <v/>
      </c>
    </row>
    <row r="27" spans="1:9" x14ac:dyDescent="0.3">
      <c r="A27" s="11"/>
      <c r="B27" s="12"/>
      <c r="C27" s="12"/>
      <c r="D27" s="12"/>
      <c r="E27" s="11"/>
      <c r="F27" s="11"/>
      <c r="G27" s="12"/>
      <c r="H27" s="12"/>
      <c r="I27" s="3" t="str">
        <f>IF(A27="","",IF(LEN(A27)&lt;&gt;2,"2자리 아님",IF(SUMPRODUCT(--ISERROR(FIND(MID(A27,{1,2},1),"ABCDEFGHIJKLMNOPQRSTUVWXYZ")))&gt;0,"문자 오류",IF(COUNTIF($A$5:$A$40,A27)&gt;1,"중복","OK"))))</f>
        <v/>
      </c>
    </row>
    <row r="28" spans="1:9" x14ac:dyDescent="0.3">
      <c r="A28" s="11"/>
      <c r="B28" s="12"/>
      <c r="C28" s="12"/>
      <c r="D28" s="12"/>
      <c r="E28" s="11"/>
      <c r="F28" s="11"/>
      <c r="G28" s="12"/>
      <c r="H28" s="12"/>
      <c r="I28" s="3" t="str">
        <f>IF(A28="","",IF(LEN(A28)&lt;&gt;2,"2자리 아님",IF(SUMPRODUCT(--ISERROR(FIND(MID(A28,{1,2},1),"ABCDEFGHIJKLMNOPQRSTUVWXYZ")))&gt;0,"문자 오류",IF(COUNTIF($A$5:$A$40,A28)&gt;1,"중복","OK"))))</f>
        <v/>
      </c>
    </row>
    <row r="29" spans="1:9" x14ac:dyDescent="0.3">
      <c r="A29" s="11"/>
      <c r="B29" s="12"/>
      <c r="C29" s="12"/>
      <c r="D29" s="12"/>
      <c r="E29" s="11"/>
      <c r="F29" s="11"/>
      <c r="G29" s="12"/>
      <c r="H29" s="12"/>
      <c r="I29" s="3" t="str">
        <f>IF(A29="","",IF(LEN(A29)&lt;&gt;2,"2자리 아님",IF(SUMPRODUCT(--ISERROR(FIND(MID(A29,{1,2},1),"ABCDEFGHIJKLMNOPQRSTUVWXYZ")))&gt;0,"문자 오류",IF(COUNTIF($A$5:$A$40,A29)&gt;1,"중복","OK"))))</f>
        <v/>
      </c>
    </row>
    <row r="30" spans="1:9" x14ac:dyDescent="0.3">
      <c r="A30" s="11"/>
      <c r="B30" s="12"/>
      <c r="C30" s="12"/>
      <c r="D30" s="12"/>
      <c r="E30" s="11"/>
      <c r="F30" s="11"/>
      <c r="G30" s="12"/>
      <c r="H30" s="12"/>
      <c r="I30" s="3" t="str">
        <f>IF(A30="","",IF(LEN(A30)&lt;&gt;2,"2자리 아님",IF(SUMPRODUCT(--ISERROR(FIND(MID(A30,{1,2},1),"ABCDEFGHIJKLMNOPQRSTUVWXYZ")))&gt;0,"문자 오류",IF(COUNTIF($A$5:$A$40,A30)&gt;1,"중복","OK"))))</f>
        <v/>
      </c>
    </row>
    <row r="31" spans="1:9" x14ac:dyDescent="0.3">
      <c r="A31" s="11"/>
      <c r="B31" s="12"/>
      <c r="C31" s="12"/>
      <c r="D31" s="12"/>
      <c r="E31" s="11"/>
      <c r="F31" s="11"/>
      <c r="G31" s="12"/>
      <c r="H31" s="12"/>
      <c r="I31" s="3" t="str">
        <f>IF(A31="","",IF(LEN(A31)&lt;&gt;2,"2자리 아님",IF(SUMPRODUCT(--ISERROR(FIND(MID(A31,{1,2},1),"ABCDEFGHIJKLMNOPQRSTUVWXYZ")))&gt;0,"문자 오류",IF(COUNTIF($A$5:$A$40,A31)&gt;1,"중복","OK"))))</f>
        <v/>
      </c>
    </row>
    <row r="32" spans="1:9" x14ac:dyDescent="0.3">
      <c r="A32" s="11"/>
      <c r="B32" s="12"/>
      <c r="C32" s="12"/>
      <c r="D32" s="12"/>
      <c r="E32" s="11"/>
      <c r="F32" s="11"/>
      <c r="G32" s="12"/>
      <c r="H32" s="12"/>
      <c r="I32" s="3" t="str">
        <f>IF(A32="","",IF(LEN(A32)&lt;&gt;2,"2자리 아님",IF(SUMPRODUCT(--ISERROR(FIND(MID(A32,{1,2},1),"ABCDEFGHIJKLMNOPQRSTUVWXYZ")))&gt;0,"문자 오류",IF(COUNTIF($A$5:$A$40,A32)&gt;1,"중복","OK"))))</f>
        <v/>
      </c>
    </row>
    <row r="33" spans="1:9" x14ac:dyDescent="0.3">
      <c r="A33" s="11"/>
      <c r="B33" s="12"/>
      <c r="C33" s="12"/>
      <c r="D33" s="12"/>
      <c r="E33" s="11"/>
      <c r="F33" s="11"/>
      <c r="G33" s="12"/>
      <c r="H33" s="12"/>
      <c r="I33" s="3" t="str">
        <f>IF(A33="","",IF(LEN(A33)&lt;&gt;2,"2자리 아님",IF(SUMPRODUCT(--ISERROR(FIND(MID(A33,{1,2},1),"ABCDEFGHIJKLMNOPQRSTUVWXYZ")))&gt;0,"문자 오류",IF(COUNTIF($A$5:$A$40,A33)&gt;1,"중복","OK"))))</f>
        <v/>
      </c>
    </row>
    <row r="34" spans="1:9" x14ac:dyDescent="0.3">
      <c r="A34" s="11"/>
      <c r="B34" s="12"/>
      <c r="C34" s="12"/>
      <c r="D34" s="12"/>
      <c r="E34" s="11"/>
      <c r="F34" s="11"/>
      <c r="G34" s="12"/>
      <c r="H34" s="12"/>
      <c r="I34" s="3" t="str">
        <f>IF(A34="","",IF(LEN(A34)&lt;&gt;2,"2자리 아님",IF(SUMPRODUCT(--ISERROR(FIND(MID(A34,{1,2},1),"ABCDEFGHIJKLMNOPQRSTUVWXYZ")))&gt;0,"문자 오류",IF(COUNTIF($A$5:$A$40,A34)&gt;1,"중복","OK"))))</f>
        <v/>
      </c>
    </row>
    <row r="35" spans="1:9" x14ac:dyDescent="0.3">
      <c r="A35" s="11"/>
      <c r="B35" s="12"/>
      <c r="C35" s="12"/>
      <c r="D35" s="12"/>
      <c r="E35" s="11"/>
      <c r="F35" s="11"/>
      <c r="G35" s="12"/>
      <c r="H35" s="12"/>
      <c r="I35" s="3" t="str">
        <f>IF(A35="","",IF(LEN(A35)&lt;&gt;2,"2자리 아님",IF(SUMPRODUCT(--ISERROR(FIND(MID(A35,{1,2},1),"ABCDEFGHIJKLMNOPQRSTUVWXYZ")))&gt;0,"문자 오류",IF(COUNTIF($A$5:$A$40,A35)&gt;1,"중복","OK"))))</f>
        <v/>
      </c>
    </row>
    <row r="36" spans="1:9" x14ac:dyDescent="0.3">
      <c r="A36" s="11"/>
      <c r="B36" s="12"/>
      <c r="C36" s="12"/>
      <c r="D36" s="12"/>
      <c r="E36" s="11"/>
      <c r="F36" s="11"/>
      <c r="G36" s="12"/>
      <c r="H36" s="12"/>
      <c r="I36" s="3" t="str">
        <f>IF(A36="","",IF(LEN(A36)&lt;&gt;2,"2자리 아님",IF(SUMPRODUCT(--ISERROR(FIND(MID(A36,{1,2},1),"ABCDEFGHIJKLMNOPQRSTUVWXYZ")))&gt;0,"문자 오류",IF(COUNTIF($A$5:$A$40,A36)&gt;1,"중복","OK"))))</f>
        <v/>
      </c>
    </row>
    <row r="37" spans="1:9" x14ac:dyDescent="0.3">
      <c r="A37" s="11"/>
      <c r="B37" s="12"/>
      <c r="C37" s="12"/>
      <c r="D37" s="12"/>
      <c r="E37" s="11"/>
      <c r="F37" s="11"/>
      <c r="G37" s="12"/>
      <c r="H37" s="12"/>
      <c r="I37" s="3" t="str">
        <f>IF(A37="","",IF(LEN(A37)&lt;&gt;2,"2자리 아님",IF(SUMPRODUCT(--ISERROR(FIND(MID(A37,{1,2},1),"ABCDEFGHIJKLMNOPQRSTUVWXYZ")))&gt;0,"문자 오류",IF(COUNTIF($A$5:$A$40,A37)&gt;1,"중복","OK"))))</f>
        <v/>
      </c>
    </row>
    <row r="38" spans="1:9" x14ac:dyDescent="0.3">
      <c r="A38" s="11"/>
      <c r="B38" s="12"/>
      <c r="C38" s="12"/>
      <c r="D38" s="12"/>
      <c r="E38" s="11"/>
      <c r="F38" s="11"/>
      <c r="G38" s="12"/>
      <c r="H38" s="12"/>
      <c r="I38" s="3" t="str">
        <f>IF(A38="","",IF(LEN(A38)&lt;&gt;2,"2자리 아님",IF(SUMPRODUCT(--ISERROR(FIND(MID(A38,{1,2},1),"ABCDEFGHIJKLMNOPQRSTUVWXYZ")))&gt;0,"문자 오류",IF(COUNTIF($A$5:$A$40,A38)&gt;1,"중복","OK"))))</f>
        <v/>
      </c>
    </row>
    <row r="39" spans="1:9" x14ac:dyDescent="0.3">
      <c r="A39" s="11"/>
      <c r="B39" s="12"/>
      <c r="C39" s="12"/>
      <c r="D39" s="12"/>
      <c r="E39" s="11"/>
      <c r="F39" s="11"/>
      <c r="G39" s="12"/>
      <c r="H39" s="12"/>
      <c r="I39" s="3" t="str">
        <f>IF(A39="","",IF(LEN(A39)&lt;&gt;2,"2자리 아님",IF(SUMPRODUCT(--ISERROR(FIND(MID(A39,{1,2},1),"ABCDEFGHIJKLMNOPQRSTUVWXYZ")))&gt;0,"문자 오류",IF(COUNTIF($A$5:$A$40,A39)&gt;1,"중복","OK"))))</f>
        <v/>
      </c>
    </row>
    <row r="40" spans="1:9" x14ac:dyDescent="0.3">
      <c r="A40" s="11"/>
      <c r="B40" s="12"/>
      <c r="C40" s="12"/>
      <c r="D40" s="12"/>
      <c r="E40" s="11"/>
      <c r="F40" s="11"/>
      <c r="G40" s="12"/>
      <c r="H40" s="12"/>
      <c r="I40" s="3" t="str">
        <f>IF(A40="","",IF(LEN(A40)&lt;&gt;2,"2자리 아님",IF(SUMPRODUCT(--ISERROR(FIND(MID(A40,{1,2},1),"ABCDEFGHIJKLMNOPQRSTUVWXYZ")))&gt;0,"문자 오류",IF(COUNTIF($A$5:$A$40,A40)&gt;1,"중복","OK"))))</f>
        <v/>
      </c>
    </row>
  </sheetData>
  <autoFilter ref="A4:I40" xr:uid="{00000000-0009-0000-0000-000005000000}"/>
  <mergeCells count="1">
    <mergeCell ref="A2:I2"/>
  </mergeCells>
  <phoneticPr fontId="7" type="noConversion"/>
  <conditionalFormatting sqref="I5:I40">
    <cfRule type="expression" dxfId="3" priority="1">
      <formula>AND(I5&lt;&gt;"",I5&lt;&gt;"OK")</formula>
    </cfRule>
    <cfRule type="expression" dxfId="2" priority="2">
      <formula>I5="OK"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코드목록!$A$2:$A$20</xm:f>
          </x14:formula1>
          <xm:sqref>F5:F40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2" width="10" customWidth="1"/>
    <col min="3" max="3" width="40" customWidth="1"/>
    <col min="4" max="4" width="14" customWidth="1"/>
    <col min="5" max="5" width="10" customWidth="1"/>
    <col min="6" max="6" width="12" customWidth="1"/>
    <col min="7" max="7" width="44" customWidth="1"/>
    <col min="8" max="8" width="12" customWidth="1"/>
  </cols>
  <sheetData>
    <row r="1" spans="1:8" ht="18.75" x14ac:dyDescent="0.3">
      <c r="A1" s="1" t="s">
        <v>187</v>
      </c>
    </row>
    <row r="2" spans="1:8" ht="30" customHeight="1" x14ac:dyDescent="0.3">
      <c r="A2" s="16" t="s">
        <v>188</v>
      </c>
      <c r="B2" s="17"/>
      <c r="C2" s="17"/>
      <c r="D2" s="17"/>
      <c r="E2" s="17"/>
      <c r="F2" s="17"/>
      <c r="G2" s="17"/>
      <c r="H2" s="17"/>
    </row>
    <row r="4" spans="1:8" ht="32.1" customHeight="1" x14ac:dyDescent="0.3">
      <c r="A4" s="2" t="s">
        <v>189</v>
      </c>
      <c r="B4" s="2" t="s">
        <v>190</v>
      </c>
      <c r="C4" s="2" t="s">
        <v>191</v>
      </c>
      <c r="D4" s="2" t="s">
        <v>192</v>
      </c>
      <c r="E4" s="2" t="s">
        <v>5</v>
      </c>
      <c r="F4" s="2" t="s">
        <v>16</v>
      </c>
      <c r="G4" s="2" t="s">
        <v>122</v>
      </c>
      <c r="H4" s="2" t="s">
        <v>123</v>
      </c>
    </row>
    <row r="5" spans="1:8" x14ac:dyDescent="0.3">
      <c r="A5" s="4" t="s">
        <v>193</v>
      </c>
      <c r="B5" s="3" t="str">
        <f t="shared" ref="B5:B36" si="0">IF(A5="","",IF(LEFT(A5,1)="A","내부",IF(LEFT(A5,1)="Z","예비","고객사")))</f>
        <v>내부</v>
      </c>
      <c r="C5" s="6" t="s">
        <v>194</v>
      </c>
      <c r="D5" s="4" t="s">
        <v>195</v>
      </c>
      <c r="E5" s="4" t="s">
        <v>24</v>
      </c>
      <c r="F5" s="6" t="s">
        <v>32</v>
      </c>
      <c r="G5" s="6" t="s">
        <v>196</v>
      </c>
      <c r="H5" s="3" t="str">
        <f>IF(A5="","",IF(LEN(A5)&lt;&gt;2,"2자리 아님",IF(SUMPRODUCT(--ISERROR(FIND(MID(A5,{1,2},1),"ABCDEFGHIJKLMNOPQRSTUVWXYZ")))&gt;0,"문자 오류",IF(AND(D5&lt;&gt;"",LEFT(D5,2)&lt;&gt;A5),"기본값 불일치",IF(COUNTIF($A$5:$A$200,A5)&gt;1,"중복","OK")))))</f>
        <v>OK</v>
      </c>
    </row>
    <row r="6" spans="1:8" x14ac:dyDescent="0.3">
      <c r="A6" s="4" t="s">
        <v>197</v>
      </c>
      <c r="B6" s="3" t="str">
        <f t="shared" si="0"/>
        <v>내부</v>
      </c>
      <c r="C6" s="6" t="s">
        <v>198</v>
      </c>
      <c r="D6" s="4" t="s">
        <v>31</v>
      </c>
      <c r="E6" s="4" t="s">
        <v>24</v>
      </c>
      <c r="F6" s="6" t="s">
        <v>32</v>
      </c>
      <c r="G6" s="6" t="s">
        <v>199</v>
      </c>
      <c r="H6" s="3" t="str">
        <f>IF(A6="","",IF(LEN(A6)&lt;&gt;2,"2자리 아님",IF(SUMPRODUCT(--ISERROR(FIND(MID(A6,{1,2},1),"ABCDEFGHIJKLMNOPQRSTUVWXYZ")))&gt;0,"문자 오류",IF(AND(D6&lt;&gt;"",LEFT(D6,2)&lt;&gt;A6),"기본값 불일치",IF(COUNTIF($A$5:$A$200,A6)&gt;1,"중복","OK")))))</f>
        <v>OK</v>
      </c>
    </row>
    <row r="7" spans="1:8" x14ac:dyDescent="0.3">
      <c r="A7" s="8" t="s">
        <v>51</v>
      </c>
      <c r="B7" s="7" t="str">
        <f t="shared" si="0"/>
        <v>고객사</v>
      </c>
      <c r="C7" s="10" t="s">
        <v>200</v>
      </c>
      <c r="D7" s="8" t="s">
        <v>54</v>
      </c>
      <c r="E7" s="8" t="s">
        <v>48</v>
      </c>
      <c r="F7" s="10" t="s">
        <v>32</v>
      </c>
      <c r="G7" s="10" t="s">
        <v>201</v>
      </c>
      <c r="H7" s="7" t="str">
        <f>IF(A7="","",IF(LEN(A7)&lt;&gt;2,"2자리 아님",IF(SUMPRODUCT(--ISERROR(FIND(MID(A7,{1,2},1),"ABCDEFGHIJKLMNOPQRSTUVWXYZ")))&gt;0,"문자 오류",IF(AND(D7&lt;&gt;"",LEFT(D7,2)&lt;&gt;A7),"기본값 불일치",IF(COUNTIF($A$5:$A$200,A7)&gt;1,"중복","OK")))))</f>
        <v>OK</v>
      </c>
    </row>
    <row r="8" spans="1:8" x14ac:dyDescent="0.3">
      <c r="A8" s="11"/>
      <c r="B8" s="3" t="str">
        <f t="shared" si="0"/>
        <v/>
      </c>
      <c r="C8" s="12"/>
      <c r="D8" s="11"/>
      <c r="E8" s="11"/>
      <c r="F8" s="12"/>
      <c r="G8" s="12"/>
      <c r="H8" s="3" t="str">
        <f>IF(A8="","",IF(LEN(A8)&lt;&gt;2,"2자리 아님",IF(SUMPRODUCT(--ISERROR(FIND(MID(A8,{1,2},1),"ABCDEFGHIJKLMNOPQRSTUVWXYZ")))&gt;0,"문자 오류",IF(AND(D8&lt;&gt;"",LEFT(D8,2)&lt;&gt;A8),"기본값 불일치",IF(COUNTIF($A$5:$A$200,A8)&gt;1,"중복","OK")))))</f>
        <v/>
      </c>
    </row>
    <row r="9" spans="1:8" x14ac:dyDescent="0.3">
      <c r="A9" s="11"/>
      <c r="B9" s="3" t="str">
        <f t="shared" si="0"/>
        <v/>
      </c>
      <c r="C9" s="12"/>
      <c r="D9" s="11"/>
      <c r="E9" s="11"/>
      <c r="F9" s="12"/>
      <c r="G9" s="12"/>
      <c r="H9" s="3" t="str">
        <f>IF(A9="","",IF(LEN(A9)&lt;&gt;2,"2자리 아님",IF(SUMPRODUCT(--ISERROR(FIND(MID(A9,{1,2},1),"ABCDEFGHIJKLMNOPQRSTUVWXYZ")))&gt;0,"문자 오류",IF(AND(D9&lt;&gt;"",LEFT(D9,2)&lt;&gt;A9),"기본값 불일치",IF(COUNTIF($A$5:$A$200,A9)&gt;1,"중복","OK")))))</f>
        <v/>
      </c>
    </row>
    <row r="10" spans="1:8" x14ac:dyDescent="0.3">
      <c r="A10" s="11"/>
      <c r="B10" s="3" t="str">
        <f t="shared" si="0"/>
        <v/>
      </c>
      <c r="C10" s="12"/>
      <c r="D10" s="11"/>
      <c r="E10" s="11"/>
      <c r="F10" s="12"/>
      <c r="G10" s="12"/>
      <c r="H10" s="3" t="str">
        <f>IF(A10="","",IF(LEN(A10)&lt;&gt;2,"2자리 아님",IF(SUMPRODUCT(--ISERROR(FIND(MID(A10,{1,2},1),"ABCDEFGHIJKLMNOPQRSTUVWXYZ")))&gt;0,"문자 오류",IF(AND(D10&lt;&gt;"",LEFT(D10,2)&lt;&gt;A10),"기본값 불일치",IF(COUNTIF($A$5:$A$200,A10)&gt;1,"중복","OK")))))</f>
        <v/>
      </c>
    </row>
    <row r="11" spans="1:8" x14ac:dyDescent="0.3">
      <c r="A11" s="11"/>
      <c r="B11" s="3" t="str">
        <f t="shared" si="0"/>
        <v/>
      </c>
      <c r="C11" s="12"/>
      <c r="D11" s="11"/>
      <c r="E11" s="11"/>
      <c r="F11" s="12"/>
      <c r="G11" s="12"/>
      <c r="H11" s="3" t="str">
        <f>IF(A11="","",IF(LEN(A11)&lt;&gt;2,"2자리 아님",IF(SUMPRODUCT(--ISERROR(FIND(MID(A11,{1,2},1),"ABCDEFGHIJKLMNOPQRSTUVWXYZ")))&gt;0,"문자 오류",IF(AND(D11&lt;&gt;"",LEFT(D11,2)&lt;&gt;A11),"기본값 불일치",IF(COUNTIF($A$5:$A$200,A11)&gt;1,"중복","OK")))))</f>
        <v/>
      </c>
    </row>
    <row r="12" spans="1:8" x14ac:dyDescent="0.3">
      <c r="A12" s="11"/>
      <c r="B12" s="3" t="str">
        <f t="shared" si="0"/>
        <v/>
      </c>
      <c r="C12" s="12"/>
      <c r="D12" s="11"/>
      <c r="E12" s="11"/>
      <c r="F12" s="12"/>
      <c r="G12" s="12"/>
      <c r="H12" s="3" t="str">
        <f>IF(A12="","",IF(LEN(A12)&lt;&gt;2,"2자리 아님",IF(SUMPRODUCT(--ISERROR(FIND(MID(A12,{1,2},1),"ABCDEFGHIJKLMNOPQRSTUVWXYZ")))&gt;0,"문자 오류",IF(AND(D12&lt;&gt;"",LEFT(D12,2)&lt;&gt;A12),"기본값 불일치",IF(COUNTIF($A$5:$A$200,A12)&gt;1,"중복","OK")))))</f>
        <v/>
      </c>
    </row>
    <row r="13" spans="1:8" x14ac:dyDescent="0.3">
      <c r="A13" s="11"/>
      <c r="B13" s="3" t="str">
        <f t="shared" si="0"/>
        <v/>
      </c>
      <c r="C13" s="12"/>
      <c r="D13" s="11"/>
      <c r="E13" s="11"/>
      <c r="F13" s="12"/>
      <c r="G13" s="12"/>
      <c r="H13" s="3" t="str">
        <f>IF(A13="","",IF(LEN(A13)&lt;&gt;2,"2자리 아님",IF(SUMPRODUCT(--ISERROR(FIND(MID(A13,{1,2},1),"ABCDEFGHIJKLMNOPQRSTUVWXYZ")))&gt;0,"문자 오류",IF(AND(D13&lt;&gt;"",LEFT(D13,2)&lt;&gt;A13),"기본값 불일치",IF(COUNTIF($A$5:$A$200,A13)&gt;1,"중복","OK")))))</f>
        <v/>
      </c>
    </row>
    <row r="14" spans="1:8" x14ac:dyDescent="0.3">
      <c r="A14" s="11"/>
      <c r="B14" s="3" t="str">
        <f t="shared" si="0"/>
        <v/>
      </c>
      <c r="C14" s="12"/>
      <c r="D14" s="11"/>
      <c r="E14" s="11"/>
      <c r="F14" s="12"/>
      <c r="G14" s="12"/>
      <c r="H14" s="3" t="str">
        <f>IF(A14="","",IF(LEN(A14)&lt;&gt;2,"2자리 아님",IF(SUMPRODUCT(--ISERROR(FIND(MID(A14,{1,2},1),"ABCDEFGHIJKLMNOPQRSTUVWXYZ")))&gt;0,"문자 오류",IF(AND(D14&lt;&gt;"",LEFT(D14,2)&lt;&gt;A14),"기본값 불일치",IF(COUNTIF($A$5:$A$200,A14)&gt;1,"중복","OK")))))</f>
        <v/>
      </c>
    </row>
    <row r="15" spans="1:8" x14ac:dyDescent="0.3">
      <c r="A15" s="11"/>
      <c r="B15" s="3" t="str">
        <f t="shared" si="0"/>
        <v/>
      </c>
      <c r="C15" s="12"/>
      <c r="D15" s="11"/>
      <c r="E15" s="11"/>
      <c r="F15" s="12"/>
      <c r="G15" s="12"/>
      <c r="H15" s="3" t="str">
        <f>IF(A15="","",IF(LEN(A15)&lt;&gt;2,"2자리 아님",IF(SUMPRODUCT(--ISERROR(FIND(MID(A15,{1,2},1),"ABCDEFGHIJKLMNOPQRSTUVWXYZ")))&gt;0,"문자 오류",IF(AND(D15&lt;&gt;"",LEFT(D15,2)&lt;&gt;A15),"기본값 불일치",IF(COUNTIF($A$5:$A$200,A15)&gt;1,"중복","OK")))))</f>
        <v/>
      </c>
    </row>
    <row r="16" spans="1:8" x14ac:dyDescent="0.3">
      <c r="A16" s="11"/>
      <c r="B16" s="3" t="str">
        <f t="shared" si="0"/>
        <v/>
      </c>
      <c r="C16" s="12"/>
      <c r="D16" s="11"/>
      <c r="E16" s="11"/>
      <c r="F16" s="12"/>
      <c r="G16" s="12"/>
      <c r="H16" s="3" t="str">
        <f>IF(A16="","",IF(LEN(A16)&lt;&gt;2,"2자리 아님",IF(SUMPRODUCT(--ISERROR(FIND(MID(A16,{1,2},1),"ABCDEFGHIJKLMNOPQRSTUVWXYZ")))&gt;0,"문자 오류",IF(AND(D16&lt;&gt;"",LEFT(D16,2)&lt;&gt;A16),"기본값 불일치",IF(COUNTIF($A$5:$A$200,A16)&gt;1,"중복","OK")))))</f>
        <v/>
      </c>
    </row>
    <row r="17" spans="1:8" x14ac:dyDescent="0.3">
      <c r="A17" s="11"/>
      <c r="B17" s="3" t="str">
        <f t="shared" si="0"/>
        <v/>
      </c>
      <c r="C17" s="12"/>
      <c r="D17" s="11"/>
      <c r="E17" s="11"/>
      <c r="F17" s="12"/>
      <c r="G17" s="12"/>
      <c r="H17" s="3" t="str">
        <f>IF(A17="","",IF(LEN(A17)&lt;&gt;2,"2자리 아님",IF(SUMPRODUCT(--ISERROR(FIND(MID(A17,{1,2},1),"ABCDEFGHIJKLMNOPQRSTUVWXYZ")))&gt;0,"문자 오류",IF(AND(D17&lt;&gt;"",LEFT(D17,2)&lt;&gt;A17),"기본값 불일치",IF(COUNTIF($A$5:$A$200,A17)&gt;1,"중복","OK")))))</f>
        <v/>
      </c>
    </row>
    <row r="18" spans="1:8" x14ac:dyDescent="0.3">
      <c r="A18" s="11"/>
      <c r="B18" s="3" t="str">
        <f t="shared" si="0"/>
        <v/>
      </c>
      <c r="C18" s="12"/>
      <c r="D18" s="11"/>
      <c r="E18" s="11"/>
      <c r="F18" s="12"/>
      <c r="G18" s="12"/>
      <c r="H18" s="3" t="str">
        <f>IF(A18="","",IF(LEN(A18)&lt;&gt;2,"2자리 아님",IF(SUMPRODUCT(--ISERROR(FIND(MID(A18,{1,2},1),"ABCDEFGHIJKLMNOPQRSTUVWXYZ")))&gt;0,"문자 오류",IF(AND(D18&lt;&gt;"",LEFT(D18,2)&lt;&gt;A18),"기본값 불일치",IF(COUNTIF($A$5:$A$200,A18)&gt;1,"중복","OK")))))</f>
        <v/>
      </c>
    </row>
    <row r="19" spans="1:8" x14ac:dyDescent="0.3">
      <c r="A19" s="11"/>
      <c r="B19" s="3" t="str">
        <f t="shared" si="0"/>
        <v/>
      </c>
      <c r="C19" s="12"/>
      <c r="D19" s="11"/>
      <c r="E19" s="11"/>
      <c r="F19" s="12"/>
      <c r="G19" s="12"/>
      <c r="H19" s="3" t="str">
        <f>IF(A19="","",IF(LEN(A19)&lt;&gt;2,"2자리 아님",IF(SUMPRODUCT(--ISERROR(FIND(MID(A19,{1,2},1),"ABCDEFGHIJKLMNOPQRSTUVWXYZ")))&gt;0,"문자 오류",IF(AND(D19&lt;&gt;"",LEFT(D19,2)&lt;&gt;A19),"기본값 불일치",IF(COUNTIF($A$5:$A$200,A19)&gt;1,"중복","OK")))))</f>
        <v/>
      </c>
    </row>
    <row r="20" spans="1:8" x14ac:dyDescent="0.3">
      <c r="A20" s="11"/>
      <c r="B20" s="3" t="str">
        <f t="shared" si="0"/>
        <v/>
      </c>
      <c r="C20" s="12"/>
      <c r="D20" s="11"/>
      <c r="E20" s="11"/>
      <c r="F20" s="12"/>
      <c r="G20" s="12"/>
      <c r="H20" s="3" t="str">
        <f>IF(A20="","",IF(LEN(A20)&lt;&gt;2,"2자리 아님",IF(SUMPRODUCT(--ISERROR(FIND(MID(A20,{1,2},1),"ABCDEFGHIJKLMNOPQRSTUVWXYZ")))&gt;0,"문자 오류",IF(AND(D20&lt;&gt;"",LEFT(D20,2)&lt;&gt;A20),"기본값 불일치",IF(COUNTIF($A$5:$A$200,A20)&gt;1,"중복","OK")))))</f>
        <v/>
      </c>
    </row>
    <row r="21" spans="1:8" x14ac:dyDescent="0.3">
      <c r="A21" s="11"/>
      <c r="B21" s="3" t="str">
        <f t="shared" si="0"/>
        <v/>
      </c>
      <c r="C21" s="12"/>
      <c r="D21" s="11"/>
      <c r="E21" s="11"/>
      <c r="F21" s="12"/>
      <c r="G21" s="12"/>
      <c r="H21" s="3" t="str">
        <f>IF(A21="","",IF(LEN(A21)&lt;&gt;2,"2자리 아님",IF(SUMPRODUCT(--ISERROR(FIND(MID(A21,{1,2},1),"ABCDEFGHIJKLMNOPQRSTUVWXYZ")))&gt;0,"문자 오류",IF(AND(D21&lt;&gt;"",LEFT(D21,2)&lt;&gt;A21),"기본값 불일치",IF(COUNTIF($A$5:$A$200,A21)&gt;1,"중복","OK")))))</f>
        <v/>
      </c>
    </row>
    <row r="22" spans="1:8" x14ac:dyDescent="0.3">
      <c r="A22" s="11"/>
      <c r="B22" s="3" t="str">
        <f t="shared" si="0"/>
        <v/>
      </c>
      <c r="C22" s="12"/>
      <c r="D22" s="11"/>
      <c r="E22" s="11"/>
      <c r="F22" s="12"/>
      <c r="G22" s="12"/>
      <c r="H22" s="3" t="str">
        <f>IF(A22="","",IF(LEN(A22)&lt;&gt;2,"2자리 아님",IF(SUMPRODUCT(--ISERROR(FIND(MID(A22,{1,2},1),"ABCDEFGHIJKLMNOPQRSTUVWXYZ")))&gt;0,"문자 오류",IF(AND(D22&lt;&gt;"",LEFT(D22,2)&lt;&gt;A22),"기본값 불일치",IF(COUNTIF($A$5:$A$200,A22)&gt;1,"중복","OK")))))</f>
        <v/>
      </c>
    </row>
    <row r="23" spans="1:8" x14ac:dyDescent="0.3">
      <c r="A23" s="11"/>
      <c r="B23" s="3" t="str">
        <f t="shared" si="0"/>
        <v/>
      </c>
      <c r="C23" s="12"/>
      <c r="D23" s="11"/>
      <c r="E23" s="11"/>
      <c r="F23" s="12"/>
      <c r="G23" s="12"/>
      <c r="H23" s="3" t="str">
        <f>IF(A23="","",IF(LEN(A23)&lt;&gt;2,"2자리 아님",IF(SUMPRODUCT(--ISERROR(FIND(MID(A23,{1,2},1),"ABCDEFGHIJKLMNOPQRSTUVWXYZ")))&gt;0,"문자 오류",IF(AND(D23&lt;&gt;"",LEFT(D23,2)&lt;&gt;A23),"기본값 불일치",IF(COUNTIF($A$5:$A$200,A23)&gt;1,"중복","OK")))))</f>
        <v/>
      </c>
    </row>
    <row r="24" spans="1:8" x14ac:dyDescent="0.3">
      <c r="A24" s="11"/>
      <c r="B24" s="3" t="str">
        <f t="shared" si="0"/>
        <v/>
      </c>
      <c r="C24" s="12"/>
      <c r="D24" s="11"/>
      <c r="E24" s="11"/>
      <c r="F24" s="12"/>
      <c r="G24" s="12"/>
      <c r="H24" s="3" t="str">
        <f>IF(A24="","",IF(LEN(A24)&lt;&gt;2,"2자리 아님",IF(SUMPRODUCT(--ISERROR(FIND(MID(A24,{1,2},1),"ABCDEFGHIJKLMNOPQRSTUVWXYZ")))&gt;0,"문자 오류",IF(AND(D24&lt;&gt;"",LEFT(D24,2)&lt;&gt;A24),"기본값 불일치",IF(COUNTIF($A$5:$A$200,A24)&gt;1,"중복","OK")))))</f>
        <v/>
      </c>
    </row>
    <row r="25" spans="1:8" x14ac:dyDescent="0.3">
      <c r="A25" s="11"/>
      <c r="B25" s="3" t="str">
        <f t="shared" si="0"/>
        <v/>
      </c>
      <c r="C25" s="12"/>
      <c r="D25" s="11"/>
      <c r="E25" s="11"/>
      <c r="F25" s="12"/>
      <c r="G25" s="12"/>
      <c r="H25" s="3" t="str">
        <f>IF(A25="","",IF(LEN(A25)&lt;&gt;2,"2자리 아님",IF(SUMPRODUCT(--ISERROR(FIND(MID(A25,{1,2},1),"ABCDEFGHIJKLMNOPQRSTUVWXYZ")))&gt;0,"문자 오류",IF(AND(D25&lt;&gt;"",LEFT(D25,2)&lt;&gt;A25),"기본값 불일치",IF(COUNTIF($A$5:$A$200,A25)&gt;1,"중복","OK")))))</f>
        <v/>
      </c>
    </row>
    <row r="26" spans="1:8" x14ac:dyDescent="0.3">
      <c r="A26" s="11"/>
      <c r="B26" s="3" t="str">
        <f t="shared" si="0"/>
        <v/>
      </c>
      <c r="C26" s="12"/>
      <c r="D26" s="11"/>
      <c r="E26" s="11"/>
      <c r="F26" s="12"/>
      <c r="G26" s="12"/>
      <c r="H26" s="3" t="str">
        <f>IF(A26="","",IF(LEN(A26)&lt;&gt;2,"2자리 아님",IF(SUMPRODUCT(--ISERROR(FIND(MID(A26,{1,2},1),"ABCDEFGHIJKLMNOPQRSTUVWXYZ")))&gt;0,"문자 오류",IF(AND(D26&lt;&gt;"",LEFT(D26,2)&lt;&gt;A26),"기본값 불일치",IF(COUNTIF($A$5:$A$200,A26)&gt;1,"중복","OK")))))</f>
        <v/>
      </c>
    </row>
    <row r="27" spans="1:8" x14ac:dyDescent="0.3">
      <c r="A27" s="11"/>
      <c r="B27" s="3" t="str">
        <f t="shared" si="0"/>
        <v/>
      </c>
      <c r="C27" s="12"/>
      <c r="D27" s="11"/>
      <c r="E27" s="11"/>
      <c r="F27" s="12"/>
      <c r="G27" s="12"/>
      <c r="H27" s="3" t="str">
        <f>IF(A27="","",IF(LEN(A27)&lt;&gt;2,"2자리 아님",IF(SUMPRODUCT(--ISERROR(FIND(MID(A27,{1,2},1),"ABCDEFGHIJKLMNOPQRSTUVWXYZ")))&gt;0,"문자 오류",IF(AND(D27&lt;&gt;"",LEFT(D27,2)&lt;&gt;A27),"기본값 불일치",IF(COUNTIF($A$5:$A$200,A27)&gt;1,"중복","OK")))))</f>
        <v/>
      </c>
    </row>
    <row r="28" spans="1:8" x14ac:dyDescent="0.3">
      <c r="A28" s="11"/>
      <c r="B28" s="3" t="str">
        <f t="shared" si="0"/>
        <v/>
      </c>
      <c r="C28" s="12"/>
      <c r="D28" s="11"/>
      <c r="E28" s="11"/>
      <c r="F28" s="12"/>
      <c r="G28" s="12"/>
      <c r="H28" s="3" t="str">
        <f>IF(A28="","",IF(LEN(A28)&lt;&gt;2,"2자리 아님",IF(SUMPRODUCT(--ISERROR(FIND(MID(A28,{1,2},1),"ABCDEFGHIJKLMNOPQRSTUVWXYZ")))&gt;0,"문자 오류",IF(AND(D28&lt;&gt;"",LEFT(D28,2)&lt;&gt;A28),"기본값 불일치",IF(COUNTIF($A$5:$A$200,A28)&gt;1,"중복","OK")))))</f>
        <v/>
      </c>
    </row>
    <row r="29" spans="1:8" x14ac:dyDescent="0.3">
      <c r="A29" s="11"/>
      <c r="B29" s="3" t="str">
        <f t="shared" si="0"/>
        <v/>
      </c>
      <c r="C29" s="12"/>
      <c r="D29" s="11"/>
      <c r="E29" s="11"/>
      <c r="F29" s="12"/>
      <c r="G29" s="12"/>
      <c r="H29" s="3" t="str">
        <f>IF(A29="","",IF(LEN(A29)&lt;&gt;2,"2자리 아님",IF(SUMPRODUCT(--ISERROR(FIND(MID(A29,{1,2},1),"ABCDEFGHIJKLMNOPQRSTUVWXYZ")))&gt;0,"문자 오류",IF(AND(D29&lt;&gt;"",LEFT(D29,2)&lt;&gt;A29),"기본값 불일치",IF(COUNTIF($A$5:$A$200,A29)&gt;1,"중복","OK")))))</f>
        <v/>
      </c>
    </row>
    <row r="30" spans="1:8" x14ac:dyDescent="0.3">
      <c r="A30" s="11"/>
      <c r="B30" s="3" t="str">
        <f t="shared" si="0"/>
        <v/>
      </c>
      <c r="C30" s="12"/>
      <c r="D30" s="11"/>
      <c r="E30" s="11"/>
      <c r="F30" s="12"/>
      <c r="G30" s="12"/>
      <c r="H30" s="3" t="str">
        <f>IF(A30="","",IF(LEN(A30)&lt;&gt;2,"2자리 아님",IF(SUMPRODUCT(--ISERROR(FIND(MID(A30,{1,2},1),"ABCDEFGHIJKLMNOPQRSTUVWXYZ")))&gt;0,"문자 오류",IF(AND(D30&lt;&gt;"",LEFT(D30,2)&lt;&gt;A30),"기본값 불일치",IF(COUNTIF($A$5:$A$200,A30)&gt;1,"중복","OK")))))</f>
        <v/>
      </c>
    </row>
    <row r="31" spans="1:8" x14ac:dyDescent="0.3">
      <c r="A31" s="11"/>
      <c r="B31" s="3" t="str">
        <f t="shared" si="0"/>
        <v/>
      </c>
      <c r="C31" s="12"/>
      <c r="D31" s="11"/>
      <c r="E31" s="11"/>
      <c r="F31" s="12"/>
      <c r="G31" s="12"/>
      <c r="H31" s="3" t="str">
        <f>IF(A31="","",IF(LEN(A31)&lt;&gt;2,"2자리 아님",IF(SUMPRODUCT(--ISERROR(FIND(MID(A31,{1,2},1),"ABCDEFGHIJKLMNOPQRSTUVWXYZ")))&gt;0,"문자 오류",IF(AND(D31&lt;&gt;"",LEFT(D31,2)&lt;&gt;A31),"기본값 불일치",IF(COUNTIF($A$5:$A$200,A31)&gt;1,"중복","OK")))))</f>
        <v/>
      </c>
    </row>
    <row r="32" spans="1:8" x14ac:dyDescent="0.3">
      <c r="A32" s="11"/>
      <c r="B32" s="3" t="str">
        <f t="shared" si="0"/>
        <v/>
      </c>
      <c r="C32" s="12"/>
      <c r="D32" s="11"/>
      <c r="E32" s="11"/>
      <c r="F32" s="12"/>
      <c r="G32" s="12"/>
      <c r="H32" s="3" t="str">
        <f>IF(A32="","",IF(LEN(A32)&lt;&gt;2,"2자리 아님",IF(SUMPRODUCT(--ISERROR(FIND(MID(A32,{1,2},1),"ABCDEFGHIJKLMNOPQRSTUVWXYZ")))&gt;0,"문자 오류",IF(AND(D32&lt;&gt;"",LEFT(D32,2)&lt;&gt;A32),"기본값 불일치",IF(COUNTIF($A$5:$A$200,A32)&gt;1,"중복","OK")))))</f>
        <v/>
      </c>
    </row>
    <row r="33" spans="1:8" x14ac:dyDescent="0.3">
      <c r="A33" s="11"/>
      <c r="B33" s="3" t="str">
        <f t="shared" si="0"/>
        <v/>
      </c>
      <c r="C33" s="12"/>
      <c r="D33" s="11"/>
      <c r="E33" s="11"/>
      <c r="F33" s="12"/>
      <c r="G33" s="12"/>
      <c r="H33" s="3" t="str">
        <f>IF(A33="","",IF(LEN(A33)&lt;&gt;2,"2자리 아님",IF(SUMPRODUCT(--ISERROR(FIND(MID(A33,{1,2},1),"ABCDEFGHIJKLMNOPQRSTUVWXYZ")))&gt;0,"문자 오류",IF(AND(D33&lt;&gt;"",LEFT(D33,2)&lt;&gt;A33),"기본값 불일치",IF(COUNTIF($A$5:$A$200,A33)&gt;1,"중복","OK")))))</f>
        <v/>
      </c>
    </row>
    <row r="34" spans="1:8" x14ac:dyDescent="0.3">
      <c r="A34" s="11"/>
      <c r="B34" s="3" t="str">
        <f t="shared" si="0"/>
        <v/>
      </c>
      <c r="C34" s="12"/>
      <c r="D34" s="11"/>
      <c r="E34" s="11"/>
      <c r="F34" s="12"/>
      <c r="G34" s="12"/>
      <c r="H34" s="3" t="str">
        <f>IF(A34="","",IF(LEN(A34)&lt;&gt;2,"2자리 아님",IF(SUMPRODUCT(--ISERROR(FIND(MID(A34,{1,2},1),"ABCDEFGHIJKLMNOPQRSTUVWXYZ")))&gt;0,"문자 오류",IF(AND(D34&lt;&gt;"",LEFT(D34,2)&lt;&gt;A34),"기본값 불일치",IF(COUNTIF($A$5:$A$200,A34)&gt;1,"중복","OK")))))</f>
        <v/>
      </c>
    </row>
    <row r="35" spans="1:8" x14ac:dyDescent="0.3">
      <c r="A35" s="11"/>
      <c r="B35" s="3" t="str">
        <f t="shared" si="0"/>
        <v/>
      </c>
      <c r="C35" s="12"/>
      <c r="D35" s="11"/>
      <c r="E35" s="11"/>
      <c r="F35" s="12"/>
      <c r="G35" s="12"/>
      <c r="H35" s="3" t="str">
        <f>IF(A35="","",IF(LEN(A35)&lt;&gt;2,"2자리 아님",IF(SUMPRODUCT(--ISERROR(FIND(MID(A35,{1,2},1),"ABCDEFGHIJKLMNOPQRSTUVWXYZ")))&gt;0,"문자 오류",IF(AND(D35&lt;&gt;"",LEFT(D35,2)&lt;&gt;A35),"기본값 불일치",IF(COUNTIF($A$5:$A$200,A35)&gt;1,"중복","OK")))))</f>
        <v/>
      </c>
    </row>
    <row r="36" spans="1:8" x14ac:dyDescent="0.3">
      <c r="A36" s="11"/>
      <c r="B36" s="3" t="str">
        <f t="shared" si="0"/>
        <v/>
      </c>
      <c r="C36" s="12"/>
      <c r="D36" s="11"/>
      <c r="E36" s="11"/>
      <c r="F36" s="12"/>
      <c r="G36" s="12"/>
      <c r="H36" s="3" t="str">
        <f>IF(A36="","",IF(LEN(A36)&lt;&gt;2,"2자리 아님",IF(SUMPRODUCT(--ISERROR(FIND(MID(A36,{1,2},1),"ABCDEFGHIJKLMNOPQRSTUVWXYZ")))&gt;0,"문자 오류",IF(AND(D36&lt;&gt;"",LEFT(D36,2)&lt;&gt;A36),"기본값 불일치",IF(COUNTIF($A$5:$A$200,A36)&gt;1,"중복","OK")))))</f>
        <v/>
      </c>
    </row>
    <row r="37" spans="1:8" x14ac:dyDescent="0.3">
      <c r="A37" s="11"/>
      <c r="B37" s="3" t="str">
        <f t="shared" ref="B37:B68" si="1">IF(A37="","",IF(LEFT(A37,1)="A","내부",IF(LEFT(A37,1)="Z","예비","고객사")))</f>
        <v/>
      </c>
      <c r="C37" s="12"/>
      <c r="D37" s="11"/>
      <c r="E37" s="11"/>
      <c r="F37" s="12"/>
      <c r="G37" s="12"/>
      <c r="H37" s="3" t="str">
        <f>IF(A37="","",IF(LEN(A37)&lt;&gt;2,"2자리 아님",IF(SUMPRODUCT(--ISERROR(FIND(MID(A37,{1,2},1),"ABCDEFGHIJKLMNOPQRSTUVWXYZ")))&gt;0,"문자 오류",IF(AND(D37&lt;&gt;"",LEFT(D37,2)&lt;&gt;A37),"기본값 불일치",IF(COUNTIF($A$5:$A$200,A37)&gt;1,"중복","OK")))))</f>
        <v/>
      </c>
    </row>
    <row r="38" spans="1:8" x14ac:dyDescent="0.3">
      <c r="A38" s="11"/>
      <c r="B38" s="3" t="str">
        <f t="shared" si="1"/>
        <v/>
      </c>
      <c r="C38" s="12"/>
      <c r="D38" s="11"/>
      <c r="E38" s="11"/>
      <c r="F38" s="12"/>
      <c r="G38" s="12"/>
      <c r="H38" s="3" t="str">
        <f>IF(A38="","",IF(LEN(A38)&lt;&gt;2,"2자리 아님",IF(SUMPRODUCT(--ISERROR(FIND(MID(A38,{1,2},1),"ABCDEFGHIJKLMNOPQRSTUVWXYZ")))&gt;0,"문자 오류",IF(AND(D38&lt;&gt;"",LEFT(D38,2)&lt;&gt;A38),"기본값 불일치",IF(COUNTIF($A$5:$A$200,A38)&gt;1,"중복","OK")))))</f>
        <v/>
      </c>
    </row>
    <row r="39" spans="1:8" x14ac:dyDescent="0.3">
      <c r="A39" s="11"/>
      <c r="B39" s="3" t="str">
        <f t="shared" si="1"/>
        <v/>
      </c>
      <c r="C39" s="12"/>
      <c r="D39" s="11"/>
      <c r="E39" s="11"/>
      <c r="F39" s="12"/>
      <c r="G39" s="12"/>
      <c r="H39" s="3" t="str">
        <f>IF(A39="","",IF(LEN(A39)&lt;&gt;2,"2자리 아님",IF(SUMPRODUCT(--ISERROR(FIND(MID(A39,{1,2},1),"ABCDEFGHIJKLMNOPQRSTUVWXYZ")))&gt;0,"문자 오류",IF(AND(D39&lt;&gt;"",LEFT(D39,2)&lt;&gt;A39),"기본값 불일치",IF(COUNTIF($A$5:$A$200,A39)&gt;1,"중복","OK")))))</f>
        <v/>
      </c>
    </row>
    <row r="40" spans="1:8" x14ac:dyDescent="0.3">
      <c r="A40" s="11"/>
      <c r="B40" s="3" t="str">
        <f t="shared" si="1"/>
        <v/>
      </c>
      <c r="C40" s="12"/>
      <c r="D40" s="11"/>
      <c r="E40" s="11"/>
      <c r="F40" s="12"/>
      <c r="G40" s="12"/>
      <c r="H40" s="3" t="str">
        <f>IF(A40="","",IF(LEN(A40)&lt;&gt;2,"2자리 아님",IF(SUMPRODUCT(--ISERROR(FIND(MID(A40,{1,2},1),"ABCDEFGHIJKLMNOPQRSTUVWXYZ")))&gt;0,"문자 오류",IF(AND(D40&lt;&gt;"",LEFT(D40,2)&lt;&gt;A40),"기본값 불일치",IF(COUNTIF($A$5:$A$200,A40)&gt;1,"중복","OK")))))</f>
        <v/>
      </c>
    </row>
    <row r="41" spans="1:8" x14ac:dyDescent="0.3">
      <c r="A41" s="11"/>
      <c r="B41" s="3" t="str">
        <f t="shared" si="1"/>
        <v/>
      </c>
      <c r="C41" s="12"/>
      <c r="D41" s="11"/>
      <c r="E41" s="11"/>
      <c r="F41" s="12"/>
      <c r="G41" s="12"/>
      <c r="H41" s="3" t="str">
        <f>IF(A41="","",IF(LEN(A41)&lt;&gt;2,"2자리 아님",IF(SUMPRODUCT(--ISERROR(FIND(MID(A41,{1,2},1),"ABCDEFGHIJKLMNOPQRSTUVWXYZ")))&gt;0,"문자 오류",IF(AND(D41&lt;&gt;"",LEFT(D41,2)&lt;&gt;A41),"기본값 불일치",IF(COUNTIF($A$5:$A$200,A41)&gt;1,"중복","OK")))))</f>
        <v/>
      </c>
    </row>
    <row r="42" spans="1:8" x14ac:dyDescent="0.3">
      <c r="A42" s="11"/>
      <c r="B42" s="3" t="str">
        <f t="shared" si="1"/>
        <v/>
      </c>
      <c r="C42" s="12"/>
      <c r="D42" s="11"/>
      <c r="E42" s="11"/>
      <c r="F42" s="12"/>
      <c r="G42" s="12"/>
      <c r="H42" s="3" t="str">
        <f>IF(A42="","",IF(LEN(A42)&lt;&gt;2,"2자리 아님",IF(SUMPRODUCT(--ISERROR(FIND(MID(A42,{1,2},1),"ABCDEFGHIJKLMNOPQRSTUVWXYZ")))&gt;0,"문자 오류",IF(AND(D42&lt;&gt;"",LEFT(D42,2)&lt;&gt;A42),"기본값 불일치",IF(COUNTIF($A$5:$A$200,A42)&gt;1,"중복","OK")))))</f>
        <v/>
      </c>
    </row>
    <row r="43" spans="1:8" x14ac:dyDescent="0.3">
      <c r="A43" s="11"/>
      <c r="B43" s="3" t="str">
        <f t="shared" si="1"/>
        <v/>
      </c>
      <c r="C43" s="12"/>
      <c r="D43" s="11"/>
      <c r="E43" s="11"/>
      <c r="F43" s="12"/>
      <c r="G43" s="12"/>
      <c r="H43" s="3" t="str">
        <f>IF(A43="","",IF(LEN(A43)&lt;&gt;2,"2자리 아님",IF(SUMPRODUCT(--ISERROR(FIND(MID(A43,{1,2},1),"ABCDEFGHIJKLMNOPQRSTUVWXYZ")))&gt;0,"문자 오류",IF(AND(D43&lt;&gt;"",LEFT(D43,2)&lt;&gt;A43),"기본값 불일치",IF(COUNTIF($A$5:$A$200,A43)&gt;1,"중복","OK")))))</f>
        <v/>
      </c>
    </row>
    <row r="44" spans="1:8" x14ac:dyDescent="0.3">
      <c r="A44" s="11"/>
      <c r="B44" s="3" t="str">
        <f t="shared" si="1"/>
        <v/>
      </c>
      <c r="C44" s="12"/>
      <c r="D44" s="11"/>
      <c r="E44" s="11"/>
      <c r="F44" s="12"/>
      <c r="G44" s="12"/>
      <c r="H44" s="3" t="str">
        <f>IF(A44="","",IF(LEN(A44)&lt;&gt;2,"2자리 아님",IF(SUMPRODUCT(--ISERROR(FIND(MID(A44,{1,2},1),"ABCDEFGHIJKLMNOPQRSTUVWXYZ")))&gt;0,"문자 오류",IF(AND(D44&lt;&gt;"",LEFT(D44,2)&lt;&gt;A44),"기본값 불일치",IF(COUNTIF($A$5:$A$200,A44)&gt;1,"중복","OK")))))</f>
        <v/>
      </c>
    </row>
    <row r="45" spans="1:8" x14ac:dyDescent="0.3">
      <c r="A45" s="11"/>
      <c r="B45" s="3" t="str">
        <f t="shared" si="1"/>
        <v/>
      </c>
      <c r="C45" s="12"/>
      <c r="D45" s="11"/>
      <c r="E45" s="11"/>
      <c r="F45" s="12"/>
      <c r="G45" s="12"/>
      <c r="H45" s="3" t="str">
        <f>IF(A45="","",IF(LEN(A45)&lt;&gt;2,"2자리 아님",IF(SUMPRODUCT(--ISERROR(FIND(MID(A45,{1,2},1),"ABCDEFGHIJKLMNOPQRSTUVWXYZ")))&gt;0,"문자 오류",IF(AND(D45&lt;&gt;"",LEFT(D45,2)&lt;&gt;A45),"기본값 불일치",IF(COUNTIF($A$5:$A$200,A45)&gt;1,"중복","OK")))))</f>
        <v/>
      </c>
    </row>
    <row r="46" spans="1:8" x14ac:dyDescent="0.3">
      <c r="A46" s="11"/>
      <c r="B46" s="3" t="str">
        <f t="shared" si="1"/>
        <v/>
      </c>
      <c r="C46" s="12"/>
      <c r="D46" s="11"/>
      <c r="E46" s="11"/>
      <c r="F46" s="12"/>
      <c r="G46" s="12"/>
      <c r="H46" s="3" t="str">
        <f>IF(A46="","",IF(LEN(A46)&lt;&gt;2,"2자리 아님",IF(SUMPRODUCT(--ISERROR(FIND(MID(A46,{1,2},1),"ABCDEFGHIJKLMNOPQRSTUVWXYZ")))&gt;0,"문자 오류",IF(AND(D46&lt;&gt;"",LEFT(D46,2)&lt;&gt;A46),"기본값 불일치",IF(COUNTIF($A$5:$A$200,A46)&gt;1,"중복","OK")))))</f>
        <v/>
      </c>
    </row>
    <row r="47" spans="1:8" x14ac:dyDescent="0.3">
      <c r="A47" s="11"/>
      <c r="B47" s="3" t="str">
        <f t="shared" si="1"/>
        <v/>
      </c>
      <c r="C47" s="12"/>
      <c r="D47" s="11"/>
      <c r="E47" s="11"/>
      <c r="F47" s="12"/>
      <c r="G47" s="12"/>
      <c r="H47" s="3" t="str">
        <f>IF(A47="","",IF(LEN(A47)&lt;&gt;2,"2자리 아님",IF(SUMPRODUCT(--ISERROR(FIND(MID(A47,{1,2},1),"ABCDEFGHIJKLMNOPQRSTUVWXYZ")))&gt;0,"문자 오류",IF(AND(D47&lt;&gt;"",LEFT(D47,2)&lt;&gt;A47),"기본값 불일치",IF(COUNTIF($A$5:$A$200,A47)&gt;1,"중복","OK")))))</f>
        <v/>
      </c>
    </row>
    <row r="48" spans="1:8" x14ac:dyDescent="0.3">
      <c r="A48" s="11"/>
      <c r="B48" s="3" t="str">
        <f t="shared" si="1"/>
        <v/>
      </c>
      <c r="C48" s="12"/>
      <c r="D48" s="11"/>
      <c r="E48" s="11"/>
      <c r="F48" s="12"/>
      <c r="G48" s="12"/>
      <c r="H48" s="3" t="str">
        <f>IF(A48="","",IF(LEN(A48)&lt;&gt;2,"2자리 아님",IF(SUMPRODUCT(--ISERROR(FIND(MID(A48,{1,2},1),"ABCDEFGHIJKLMNOPQRSTUVWXYZ")))&gt;0,"문자 오류",IF(AND(D48&lt;&gt;"",LEFT(D48,2)&lt;&gt;A48),"기본값 불일치",IF(COUNTIF($A$5:$A$200,A48)&gt;1,"중복","OK")))))</f>
        <v/>
      </c>
    </row>
    <row r="49" spans="1:8" x14ac:dyDescent="0.3">
      <c r="A49" s="11"/>
      <c r="B49" s="3" t="str">
        <f t="shared" si="1"/>
        <v/>
      </c>
      <c r="C49" s="12"/>
      <c r="D49" s="11"/>
      <c r="E49" s="11"/>
      <c r="F49" s="12"/>
      <c r="G49" s="12"/>
      <c r="H49" s="3" t="str">
        <f>IF(A49="","",IF(LEN(A49)&lt;&gt;2,"2자리 아님",IF(SUMPRODUCT(--ISERROR(FIND(MID(A49,{1,2},1),"ABCDEFGHIJKLMNOPQRSTUVWXYZ")))&gt;0,"문자 오류",IF(AND(D49&lt;&gt;"",LEFT(D49,2)&lt;&gt;A49),"기본값 불일치",IF(COUNTIF($A$5:$A$200,A49)&gt;1,"중복","OK")))))</f>
        <v/>
      </c>
    </row>
    <row r="50" spans="1:8" x14ac:dyDescent="0.3">
      <c r="A50" s="11"/>
      <c r="B50" s="3" t="str">
        <f t="shared" si="1"/>
        <v/>
      </c>
      <c r="C50" s="12"/>
      <c r="D50" s="11"/>
      <c r="E50" s="11"/>
      <c r="F50" s="12"/>
      <c r="G50" s="12"/>
      <c r="H50" s="3" t="str">
        <f>IF(A50="","",IF(LEN(A50)&lt;&gt;2,"2자리 아님",IF(SUMPRODUCT(--ISERROR(FIND(MID(A50,{1,2},1),"ABCDEFGHIJKLMNOPQRSTUVWXYZ")))&gt;0,"문자 오류",IF(AND(D50&lt;&gt;"",LEFT(D50,2)&lt;&gt;A50),"기본값 불일치",IF(COUNTIF($A$5:$A$200,A50)&gt;1,"중복","OK")))))</f>
        <v/>
      </c>
    </row>
    <row r="51" spans="1:8" x14ac:dyDescent="0.3">
      <c r="A51" s="11"/>
      <c r="B51" s="3" t="str">
        <f t="shared" si="1"/>
        <v/>
      </c>
      <c r="C51" s="12"/>
      <c r="D51" s="11"/>
      <c r="E51" s="11"/>
      <c r="F51" s="12"/>
      <c r="G51" s="12"/>
      <c r="H51" s="3" t="str">
        <f>IF(A51="","",IF(LEN(A51)&lt;&gt;2,"2자리 아님",IF(SUMPRODUCT(--ISERROR(FIND(MID(A51,{1,2},1),"ABCDEFGHIJKLMNOPQRSTUVWXYZ")))&gt;0,"문자 오류",IF(AND(D51&lt;&gt;"",LEFT(D51,2)&lt;&gt;A51),"기본값 불일치",IF(COUNTIF($A$5:$A$200,A51)&gt;1,"중복","OK")))))</f>
        <v/>
      </c>
    </row>
    <row r="52" spans="1:8" x14ac:dyDescent="0.3">
      <c r="A52" s="11"/>
      <c r="B52" s="3" t="str">
        <f t="shared" si="1"/>
        <v/>
      </c>
      <c r="C52" s="12"/>
      <c r="D52" s="11"/>
      <c r="E52" s="11"/>
      <c r="F52" s="12"/>
      <c r="G52" s="12"/>
      <c r="H52" s="3" t="str">
        <f>IF(A52="","",IF(LEN(A52)&lt;&gt;2,"2자리 아님",IF(SUMPRODUCT(--ISERROR(FIND(MID(A52,{1,2},1),"ABCDEFGHIJKLMNOPQRSTUVWXYZ")))&gt;0,"문자 오류",IF(AND(D52&lt;&gt;"",LEFT(D52,2)&lt;&gt;A52),"기본값 불일치",IF(COUNTIF($A$5:$A$200,A52)&gt;1,"중복","OK")))))</f>
        <v/>
      </c>
    </row>
    <row r="53" spans="1:8" x14ac:dyDescent="0.3">
      <c r="A53" s="11"/>
      <c r="B53" s="3" t="str">
        <f t="shared" si="1"/>
        <v/>
      </c>
      <c r="C53" s="12"/>
      <c r="D53" s="11"/>
      <c r="E53" s="11"/>
      <c r="F53" s="12"/>
      <c r="G53" s="12"/>
      <c r="H53" s="3" t="str">
        <f>IF(A53="","",IF(LEN(A53)&lt;&gt;2,"2자리 아님",IF(SUMPRODUCT(--ISERROR(FIND(MID(A53,{1,2},1),"ABCDEFGHIJKLMNOPQRSTUVWXYZ")))&gt;0,"문자 오류",IF(AND(D53&lt;&gt;"",LEFT(D53,2)&lt;&gt;A53),"기본값 불일치",IF(COUNTIF($A$5:$A$200,A53)&gt;1,"중복","OK")))))</f>
        <v/>
      </c>
    </row>
    <row r="54" spans="1:8" x14ac:dyDescent="0.3">
      <c r="A54" s="11"/>
      <c r="B54" s="3" t="str">
        <f t="shared" si="1"/>
        <v/>
      </c>
      <c r="C54" s="12"/>
      <c r="D54" s="11"/>
      <c r="E54" s="11"/>
      <c r="F54" s="12"/>
      <c r="G54" s="12"/>
      <c r="H54" s="3" t="str">
        <f>IF(A54="","",IF(LEN(A54)&lt;&gt;2,"2자리 아님",IF(SUMPRODUCT(--ISERROR(FIND(MID(A54,{1,2},1),"ABCDEFGHIJKLMNOPQRSTUVWXYZ")))&gt;0,"문자 오류",IF(AND(D54&lt;&gt;"",LEFT(D54,2)&lt;&gt;A54),"기본값 불일치",IF(COUNTIF($A$5:$A$200,A54)&gt;1,"중복","OK")))))</f>
        <v/>
      </c>
    </row>
    <row r="55" spans="1:8" x14ac:dyDescent="0.3">
      <c r="A55" s="11"/>
      <c r="B55" s="3" t="str">
        <f t="shared" si="1"/>
        <v/>
      </c>
      <c r="C55" s="12"/>
      <c r="D55" s="11"/>
      <c r="E55" s="11"/>
      <c r="F55" s="12"/>
      <c r="G55" s="12"/>
      <c r="H55" s="3" t="str">
        <f>IF(A55="","",IF(LEN(A55)&lt;&gt;2,"2자리 아님",IF(SUMPRODUCT(--ISERROR(FIND(MID(A55,{1,2},1),"ABCDEFGHIJKLMNOPQRSTUVWXYZ")))&gt;0,"문자 오류",IF(AND(D55&lt;&gt;"",LEFT(D55,2)&lt;&gt;A55),"기본값 불일치",IF(COUNTIF($A$5:$A$200,A55)&gt;1,"중복","OK")))))</f>
        <v/>
      </c>
    </row>
    <row r="56" spans="1:8" x14ac:dyDescent="0.3">
      <c r="A56" s="11"/>
      <c r="B56" s="3" t="str">
        <f t="shared" si="1"/>
        <v/>
      </c>
      <c r="C56" s="12"/>
      <c r="D56" s="11"/>
      <c r="E56" s="11"/>
      <c r="F56" s="12"/>
      <c r="G56" s="12"/>
      <c r="H56" s="3" t="str">
        <f>IF(A56="","",IF(LEN(A56)&lt;&gt;2,"2자리 아님",IF(SUMPRODUCT(--ISERROR(FIND(MID(A56,{1,2},1),"ABCDEFGHIJKLMNOPQRSTUVWXYZ")))&gt;0,"문자 오류",IF(AND(D56&lt;&gt;"",LEFT(D56,2)&lt;&gt;A56),"기본값 불일치",IF(COUNTIF($A$5:$A$200,A56)&gt;1,"중복","OK")))))</f>
        <v/>
      </c>
    </row>
    <row r="57" spans="1:8" x14ac:dyDescent="0.3">
      <c r="A57" s="11"/>
      <c r="B57" s="3" t="str">
        <f t="shared" si="1"/>
        <v/>
      </c>
      <c r="C57" s="12"/>
      <c r="D57" s="11"/>
      <c r="E57" s="11"/>
      <c r="F57" s="12"/>
      <c r="G57" s="12"/>
      <c r="H57" s="3" t="str">
        <f>IF(A57="","",IF(LEN(A57)&lt;&gt;2,"2자리 아님",IF(SUMPRODUCT(--ISERROR(FIND(MID(A57,{1,2},1),"ABCDEFGHIJKLMNOPQRSTUVWXYZ")))&gt;0,"문자 오류",IF(AND(D57&lt;&gt;"",LEFT(D57,2)&lt;&gt;A57),"기본값 불일치",IF(COUNTIF($A$5:$A$200,A57)&gt;1,"중복","OK")))))</f>
        <v/>
      </c>
    </row>
    <row r="58" spans="1:8" x14ac:dyDescent="0.3">
      <c r="A58" s="11"/>
      <c r="B58" s="3" t="str">
        <f t="shared" si="1"/>
        <v/>
      </c>
      <c r="C58" s="12"/>
      <c r="D58" s="11"/>
      <c r="E58" s="11"/>
      <c r="F58" s="12"/>
      <c r="G58" s="12"/>
      <c r="H58" s="3" t="str">
        <f>IF(A58="","",IF(LEN(A58)&lt;&gt;2,"2자리 아님",IF(SUMPRODUCT(--ISERROR(FIND(MID(A58,{1,2},1),"ABCDEFGHIJKLMNOPQRSTUVWXYZ")))&gt;0,"문자 오류",IF(AND(D58&lt;&gt;"",LEFT(D58,2)&lt;&gt;A58),"기본값 불일치",IF(COUNTIF($A$5:$A$200,A58)&gt;1,"중복","OK")))))</f>
        <v/>
      </c>
    </row>
    <row r="59" spans="1:8" x14ac:dyDescent="0.3">
      <c r="A59" s="11"/>
      <c r="B59" s="3" t="str">
        <f t="shared" si="1"/>
        <v/>
      </c>
      <c r="C59" s="12"/>
      <c r="D59" s="11"/>
      <c r="E59" s="11"/>
      <c r="F59" s="12"/>
      <c r="G59" s="12"/>
      <c r="H59" s="3" t="str">
        <f>IF(A59="","",IF(LEN(A59)&lt;&gt;2,"2자리 아님",IF(SUMPRODUCT(--ISERROR(FIND(MID(A59,{1,2},1),"ABCDEFGHIJKLMNOPQRSTUVWXYZ")))&gt;0,"문자 오류",IF(AND(D59&lt;&gt;"",LEFT(D59,2)&lt;&gt;A59),"기본값 불일치",IF(COUNTIF($A$5:$A$200,A59)&gt;1,"중복","OK")))))</f>
        <v/>
      </c>
    </row>
    <row r="60" spans="1:8" x14ac:dyDescent="0.3">
      <c r="A60" s="11"/>
      <c r="B60" s="3" t="str">
        <f t="shared" si="1"/>
        <v/>
      </c>
      <c r="C60" s="12"/>
      <c r="D60" s="11"/>
      <c r="E60" s="11"/>
      <c r="F60" s="12"/>
      <c r="G60" s="12"/>
      <c r="H60" s="3" t="str">
        <f>IF(A60="","",IF(LEN(A60)&lt;&gt;2,"2자리 아님",IF(SUMPRODUCT(--ISERROR(FIND(MID(A60,{1,2},1),"ABCDEFGHIJKLMNOPQRSTUVWXYZ")))&gt;0,"문자 오류",IF(AND(D60&lt;&gt;"",LEFT(D60,2)&lt;&gt;A60),"기본값 불일치",IF(COUNTIF($A$5:$A$200,A60)&gt;1,"중복","OK")))))</f>
        <v/>
      </c>
    </row>
    <row r="61" spans="1:8" x14ac:dyDescent="0.3">
      <c r="A61" s="11"/>
      <c r="B61" s="3" t="str">
        <f t="shared" si="1"/>
        <v/>
      </c>
      <c r="C61" s="12"/>
      <c r="D61" s="11"/>
      <c r="E61" s="11"/>
      <c r="F61" s="12"/>
      <c r="G61" s="12"/>
      <c r="H61" s="3" t="str">
        <f>IF(A61="","",IF(LEN(A61)&lt;&gt;2,"2자리 아님",IF(SUMPRODUCT(--ISERROR(FIND(MID(A61,{1,2},1),"ABCDEFGHIJKLMNOPQRSTUVWXYZ")))&gt;0,"문자 오류",IF(AND(D61&lt;&gt;"",LEFT(D61,2)&lt;&gt;A61),"기본값 불일치",IF(COUNTIF($A$5:$A$200,A61)&gt;1,"중복","OK")))))</f>
        <v/>
      </c>
    </row>
    <row r="62" spans="1:8" x14ac:dyDescent="0.3">
      <c r="A62" s="11"/>
      <c r="B62" s="3" t="str">
        <f t="shared" si="1"/>
        <v/>
      </c>
      <c r="C62" s="12"/>
      <c r="D62" s="11"/>
      <c r="E62" s="11"/>
      <c r="F62" s="12"/>
      <c r="G62" s="12"/>
      <c r="H62" s="3" t="str">
        <f>IF(A62="","",IF(LEN(A62)&lt;&gt;2,"2자리 아님",IF(SUMPRODUCT(--ISERROR(FIND(MID(A62,{1,2},1),"ABCDEFGHIJKLMNOPQRSTUVWXYZ")))&gt;0,"문자 오류",IF(AND(D62&lt;&gt;"",LEFT(D62,2)&lt;&gt;A62),"기본값 불일치",IF(COUNTIF($A$5:$A$200,A62)&gt;1,"중복","OK")))))</f>
        <v/>
      </c>
    </row>
    <row r="63" spans="1:8" x14ac:dyDescent="0.3">
      <c r="A63" s="11"/>
      <c r="B63" s="3" t="str">
        <f t="shared" si="1"/>
        <v/>
      </c>
      <c r="C63" s="12"/>
      <c r="D63" s="11"/>
      <c r="E63" s="11"/>
      <c r="F63" s="12"/>
      <c r="G63" s="12"/>
      <c r="H63" s="3" t="str">
        <f>IF(A63="","",IF(LEN(A63)&lt;&gt;2,"2자리 아님",IF(SUMPRODUCT(--ISERROR(FIND(MID(A63,{1,2},1),"ABCDEFGHIJKLMNOPQRSTUVWXYZ")))&gt;0,"문자 오류",IF(AND(D63&lt;&gt;"",LEFT(D63,2)&lt;&gt;A63),"기본값 불일치",IF(COUNTIF($A$5:$A$200,A63)&gt;1,"중복","OK")))))</f>
        <v/>
      </c>
    </row>
    <row r="64" spans="1:8" x14ac:dyDescent="0.3">
      <c r="A64" s="11"/>
      <c r="B64" s="3" t="str">
        <f t="shared" si="1"/>
        <v/>
      </c>
      <c r="C64" s="12"/>
      <c r="D64" s="11"/>
      <c r="E64" s="11"/>
      <c r="F64" s="12"/>
      <c r="G64" s="12"/>
      <c r="H64" s="3" t="str">
        <f>IF(A64="","",IF(LEN(A64)&lt;&gt;2,"2자리 아님",IF(SUMPRODUCT(--ISERROR(FIND(MID(A64,{1,2},1),"ABCDEFGHIJKLMNOPQRSTUVWXYZ")))&gt;0,"문자 오류",IF(AND(D64&lt;&gt;"",LEFT(D64,2)&lt;&gt;A64),"기본값 불일치",IF(COUNTIF($A$5:$A$200,A64)&gt;1,"중복","OK")))))</f>
        <v/>
      </c>
    </row>
    <row r="65" spans="1:8" x14ac:dyDescent="0.3">
      <c r="A65" s="11"/>
      <c r="B65" s="3" t="str">
        <f t="shared" si="1"/>
        <v/>
      </c>
      <c r="C65" s="12"/>
      <c r="D65" s="11"/>
      <c r="E65" s="11"/>
      <c r="F65" s="12"/>
      <c r="G65" s="12"/>
      <c r="H65" s="3" t="str">
        <f>IF(A65="","",IF(LEN(A65)&lt;&gt;2,"2자리 아님",IF(SUMPRODUCT(--ISERROR(FIND(MID(A65,{1,2},1),"ABCDEFGHIJKLMNOPQRSTUVWXYZ")))&gt;0,"문자 오류",IF(AND(D65&lt;&gt;"",LEFT(D65,2)&lt;&gt;A65),"기본값 불일치",IF(COUNTIF($A$5:$A$200,A65)&gt;1,"중복","OK")))))</f>
        <v/>
      </c>
    </row>
    <row r="66" spans="1:8" x14ac:dyDescent="0.3">
      <c r="A66" s="11"/>
      <c r="B66" s="3" t="str">
        <f t="shared" si="1"/>
        <v/>
      </c>
      <c r="C66" s="12"/>
      <c r="D66" s="11"/>
      <c r="E66" s="11"/>
      <c r="F66" s="12"/>
      <c r="G66" s="12"/>
      <c r="H66" s="3" t="str">
        <f>IF(A66="","",IF(LEN(A66)&lt;&gt;2,"2자리 아님",IF(SUMPRODUCT(--ISERROR(FIND(MID(A66,{1,2},1),"ABCDEFGHIJKLMNOPQRSTUVWXYZ")))&gt;0,"문자 오류",IF(AND(D66&lt;&gt;"",LEFT(D66,2)&lt;&gt;A66),"기본값 불일치",IF(COUNTIF($A$5:$A$200,A66)&gt;1,"중복","OK")))))</f>
        <v/>
      </c>
    </row>
    <row r="67" spans="1:8" x14ac:dyDescent="0.3">
      <c r="A67" s="11"/>
      <c r="B67" s="3" t="str">
        <f t="shared" si="1"/>
        <v/>
      </c>
      <c r="C67" s="12"/>
      <c r="D67" s="11"/>
      <c r="E67" s="11"/>
      <c r="F67" s="12"/>
      <c r="G67" s="12"/>
      <c r="H67" s="3" t="str">
        <f>IF(A67="","",IF(LEN(A67)&lt;&gt;2,"2자리 아님",IF(SUMPRODUCT(--ISERROR(FIND(MID(A67,{1,2},1),"ABCDEFGHIJKLMNOPQRSTUVWXYZ")))&gt;0,"문자 오류",IF(AND(D67&lt;&gt;"",LEFT(D67,2)&lt;&gt;A67),"기본값 불일치",IF(COUNTIF($A$5:$A$200,A67)&gt;1,"중복","OK")))))</f>
        <v/>
      </c>
    </row>
    <row r="68" spans="1:8" x14ac:dyDescent="0.3">
      <c r="A68" s="11"/>
      <c r="B68" s="3" t="str">
        <f t="shared" si="1"/>
        <v/>
      </c>
      <c r="C68" s="12"/>
      <c r="D68" s="11"/>
      <c r="E68" s="11"/>
      <c r="F68" s="12"/>
      <c r="G68" s="12"/>
      <c r="H68" s="3" t="str">
        <f>IF(A68="","",IF(LEN(A68)&lt;&gt;2,"2자리 아님",IF(SUMPRODUCT(--ISERROR(FIND(MID(A68,{1,2},1),"ABCDEFGHIJKLMNOPQRSTUVWXYZ")))&gt;0,"문자 오류",IF(AND(D68&lt;&gt;"",LEFT(D68,2)&lt;&gt;A68),"기본값 불일치",IF(COUNTIF($A$5:$A$200,A68)&gt;1,"중복","OK")))))</f>
        <v/>
      </c>
    </row>
    <row r="69" spans="1:8" x14ac:dyDescent="0.3">
      <c r="A69" s="11"/>
      <c r="B69" s="3" t="str">
        <f t="shared" ref="B69:B100" si="2">IF(A69="","",IF(LEFT(A69,1)="A","내부",IF(LEFT(A69,1)="Z","예비","고객사")))</f>
        <v/>
      </c>
      <c r="C69" s="12"/>
      <c r="D69" s="11"/>
      <c r="E69" s="11"/>
      <c r="F69" s="12"/>
      <c r="G69" s="12"/>
      <c r="H69" s="3" t="str">
        <f>IF(A69="","",IF(LEN(A69)&lt;&gt;2,"2자리 아님",IF(SUMPRODUCT(--ISERROR(FIND(MID(A69,{1,2},1),"ABCDEFGHIJKLMNOPQRSTUVWXYZ")))&gt;0,"문자 오류",IF(AND(D69&lt;&gt;"",LEFT(D69,2)&lt;&gt;A69),"기본값 불일치",IF(COUNTIF($A$5:$A$200,A69)&gt;1,"중복","OK")))))</f>
        <v/>
      </c>
    </row>
    <row r="70" spans="1:8" x14ac:dyDescent="0.3">
      <c r="A70" s="11"/>
      <c r="B70" s="3" t="str">
        <f t="shared" si="2"/>
        <v/>
      </c>
      <c r="C70" s="12"/>
      <c r="D70" s="11"/>
      <c r="E70" s="11"/>
      <c r="F70" s="12"/>
      <c r="G70" s="12"/>
      <c r="H70" s="3" t="str">
        <f>IF(A70="","",IF(LEN(A70)&lt;&gt;2,"2자리 아님",IF(SUMPRODUCT(--ISERROR(FIND(MID(A70,{1,2},1),"ABCDEFGHIJKLMNOPQRSTUVWXYZ")))&gt;0,"문자 오류",IF(AND(D70&lt;&gt;"",LEFT(D70,2)&lt;&gt;A70),"기본값 불일치",IF(COUNTIF($A$5:$A$200,A70)&gt;1,"중복","OK")))))</f>
        <v/>
      </c>
    </row>
    <row r="71" spans="1:8" x14ac:dyDescent="0.3">
      <c r="A71" s="11"/>
      <c r="B71" s="3" t="str">
        <f t="shared" si="2"/>
        <v/>
      </c>
      <c r="C71" s="12"/>
      <c r="D71" s="11"/>
      <c r="E71" s="11"/>
      <c r="F71" s="12"/>
      <c r="G71" s="12"/>
      <c r="H71" s="3" t="str">
        <f>IF(A71="","",IF(LEN(A71)&lt;&gt;2,"2자리 아님",IF(SUMPRODUCT(--ISERROR(FIND(MID(A71,{1,2},1),"ABCDEFGHIJKLMNOPQRSTUVWXYZ")))&gt;0,"문자 오류",IF(AND(D71&lt;&gt;"",LEFT(D71,2)&lt;&gt;A71),"기본값 불일치",IF(COUNTIF($A$5:$A$200,A71)&gt;1,"중복","OK")))))</f>
        <v/>
      </c>
    </row>
    <row r="72" spans="1:8" x14ac:dyDescent="0.3">
      <c r="A72" s="11"/>
      <c r="B72" s="3" t="str">
        <f t="shared" si="2"/>
        <v/>
      </c>
      <c r="C72" s="12"/>
      <c r="D72" s="11"/>
      <c r="E72" s="11"/>
      <c r="F72" s="12"/>
      <c r="G72" s="12"/>
      <c r="H72" s="3" t="str">
        <f>IF(A72="","",IF(LEN(A72)&lt;&gt;2,"2자리 아님",IF(SUMPRODUCT(--ISERROR(FIND(MID(A72,{1,2},1),"ABCDEFGHIJKLMNOPQRSTUVWXYZ")))&gt;0,"문자 오류",IF(AND(D72&lt;&gt;"",LEFT(D72,2)&lt;&gt;A72),"기본값 불일치",IF(COUNTIF($A$5:$A$200,A72)&gt;1,"중복","OK")))))</f>
        <v/>
      </c>
    </row>
    <row r="73" spans="1:8" x14ac:dyDescent="0.3">
      <c r="A73" s="11"/>
      <c r="B73" s="3" t="str">
        <f t="shared" si="2"/>
        <v/>
      </c>
      <c r="C73" s="12"/>
      <c r="D73" s="11"/>
      <c r="E73" s="11"/>
      <c r="F73" s="12"/>
      <c r="G73" s="12"/>
      <c r="H73" s="3" t="str">
        <f>IF(A73="","",IF(LEN(A73)&lt;&gt;2,"2자리 아님",IF(SUMPRODUCT(--ISERROR(FIND(MID(A73,{1,2},1),"ABCDEFGHIJKLMNOPQRSTUVWXYZ")))&gt;0,"문자 오류",IF(AND(D73&lt;&gt;"",LEFT(D73,2)&lt;&gt;A73),"기본값 불일치",IF(COUNTIF($A$5:$A$200,A73)&gt;1,"중복","OK")))))</f>
        <v/>
      </c>
    </row>
    <row r="74" spans="1:8" x14ac:dyDescent="0.3">
      <c r="A74" s="11"/>
      <c r="B74" s="3" t="str">
        <f t="shared" si="2"/>
        <v/>
      </c>
      <c r="C74" s="12"/>
      <c r="D74" s="11"/>
      <c r="E74" s="11"/>
      <c r="F74" s="12"/>
      <c r="G74" s="12"/>
      <c r="H74" s="3" t="str">
        <f>IF(A74="","",IF(LEN(A74)&lt;&gt;2,"2자리 아님",IF(SUMPRODUCT(--ISERROR(FIND(MID(A74,{1,2},1),"ABCDEFGHIJKLMNOPQRSTUVWXYZ")))&gt;0,"문자 오류",IF(AND(D74&lt;&gt;"",LEFT(D74,2)&lt;&gt;A74),"기본값 불일치",IF(COUNTIF($A$5:$A$200,A74)&gt;1,"중복","OK")))))</f>
        <v/>
      </c>
    </row>
    <row r="75" spans="1:8" x14ac:dyDescent="0.3">
      <c r="A75" s="11"/>
      <c r="B75" s="3" t="str">
        <f t="shared" si="2"/>
        <v/>
      </c>
      <c r="C75" s="12"/>
      <c r="D75" s="11"/>
      <c r="E75" s="11"/>
      <c r="F75" s="12"/>
      <c r="G75" s="12"/>
      <c r="H75" s="3" t="str">
        <f>IF(A75="","",IF(LEN(A75)&lt;&gt;2,"2자리 아님",IF(SUMPRODUCT(--ISERROR(FIND(MID(A75,{1,2},1),"ABCDEFGHIJKLMNOPQRSTUVWXYZ")))&gt;0,"문자 오류",IF(AND(D75&lt;&gt;"",LEFT(D75,2)&lt;&gt;A75),"기본값 불일치",IF(COUNTIF($A$5:$A$200,A75)&gt;1,"중복","OK")))))</f>
        <v/>
      </c>
    </row>
    <row r="76" spans="1:8" x14ac:dyDescent="0.3">
      <c r="A76" s="11"/>
      <c r="B76" s="3" t="str">
        <f t="shared" si="2"/>
        <v/>
      </c>
      <c r="C76" s="12"/>
      <c r="D76" s="11"/>
      <c r="E76" s="11"/>
      <c r="F76" s="12"/>
      <c r="G76" s="12"/>
      <c r="H76" s="3" t="str">
        <f>IF(A76="","",IF(LEN(A76)&lt;&gt;2,"2자리 아님",IF(SUMPRODUCT(--ISERROR(FIND(MID(A76,{1,2},1),"ABCDEFGHIJKLMNOPQRSTUVWXYZ")))&gt;0,"문자 오류",IF(AND(D76&lt;&gt;"",LEFT(D76,2)&lt;&gt;A76),"기본값 불일치",IF(COUNTIF($A$5:$A$200,A76)&gt;1,"중복","OK")))))</f>
        <v/>
      </c>
    </row>
    <row r="77" spans="1:8" x14ac:dyDescent="0.3">
      <c r="A77" s="11"/>
      <c r="B77" s="3" t="str">
        <f t="shared" si="2"/>
        <v/>
      </c>
      <c r="C77" s="12"/>
      <c r="D77" s="11"/>
      <c r="E77" s="11"/>
      <c r="F77" s="12"/>
      <c r="G77" s="12"/>
      <c r="H77" s="3" t="str">
        <f>IF(A77="","",IF(LEN(A77)&lt;&gt;2,"2자리 아님",IF(SUMPRODUCT(--ISERROR(FIND(MID(A77,{1,2},1),"ABCDEFGHIJKLMNOPQRSTUVWXYZ")))&gt;0,"문자 오류",IF(AND(D77&lt;&gt;"",LEFT(D77,2)&lt;&gt;A77),"기본값 불일치",IF(COUNTIF($A$5:$A$200,A77)&gt;1,"중복","OK")))))</f>
        <v/>
      </c>
    </row>
    <row r="78" spans="1:8" x14ac:dyDescent="0.3">
      <c r="A78" s="11"/>
      <c r="B78" s="3" t="str">
        <f t="shared" si="2"/>
        <v/>
      </c>
      <c r="C78" s="12"/>
      <c r="D78" s="11"/>
      <c r="E78" s="11"/>
      <c r="F78" s="12"/>
      <c r="G78" s="12"/>
      <c r="H78" s="3" t="str">
        <f>IF(A78="","",IF(LEN(A78)&lt;&gt;2,"2자리 아님",IF(SUMPRODUCT(--ISERROR(FIND(MID(A78,{1,2},1),"ABCDEFGHIJKLMNOPQRSTUVWXYZ")))&gt;0,"문자 오류",IF(AND(D78&lt;&gt;"",LEFT(D78,2)&lt;&gt;A78),"기본값 불일치",IF(COUNTIF($A$5:$A$200,A78)&gt;1,"중복","OK")))))</f>
        <v/>
      </c>
    </row>
    <row r="79" spans="1:8" x14ac:dyDescent="0.3">
      <c r="A79" s="11"/>
      <c r="B79" s="3" t="str">
        <f t="shared" si="2"/>
        <v/>
      </c>
      <c r="C79" s="12"/>
      <c r="D79" s="11"/>
      <c r="E79" s="11"/>
      <c r="F79" s="12"/>
      <c r="G79" s="12"/>
      <c r="H79" s="3" t="str">
        <f>IF(A79="","",IF(LEN(A79)&lt;&gt;2,"2자리 아님",IF(SUMPRODUCT(--ISERROR(FIND(MID(A79,{1,2},1),"ABCDEFGHIJKLMNOPQRSTUVWXYZ")))&gt;0,"문자 오류",IF(AND(D79&lt;&gt;"",LEFT(D79,2)&lt;&gt;A79),"기본값 불일치",IF(COUNTIF($A$5:$A$200,A79)&gt;1,"중복","OK")))))</f>
        <v/>
      </c>
    </row>
    <row r="80" spans="1:8" x14ac:dyDescent="0.3">
      <c r="A80" s="11"/>
      <c r="B80" s="3" t="str">
        <f t="shared" si="2"/>
        <v/>
      </c>
      <c r="C80" s="12"/>
      <c r="D80" s="11"/>
      <c r="E80" s="11"/>
      <c r="F80" s="12"/>
      <c r="G80" s="12"/>
      <c r="H80" s="3" t="str">
        <f>IF(A80="","",IF(LEN(A80)&lt;&gt;2,"2자리 아님",IF(SUMPRODUCT(--ISERROR(FIND(MID(A80,{1,2},1),"ABCDEFGHIJKLMNOPQRSTUVWXYZ")))&gt;0,"문자 오류",IF(AND(D80&lt;&gt;"",LEFT(D80,2)&lt;&gt;A80),"기본값 불일치",IF(COUNTIF($A$5:$A$200,A80)&gt;1,"중복","OK")))))</f>
        <v/>
      </c>
    </row>
    <row r="81" spans="1:8" x14ac:dyDescent="0.3">
      <c r="A81" s="11"/>
      <c r="B81" s="3" t="str">
        <f t="shared" si="2"/>
        <v/>
      </c>
      <c r="C81" s="12"/>
      <c r="D81" s="11"/>
      <c r="E81" s="11"/>
      <c r="F81" s="12"/>
      <c r="G81" s="12"/>
      <c r="H81" s="3" t="str">
        <f>IF(A81="","",IF(LEN(A81)&lt;&gt;2,"2자리 아님",IF(SUMPRODUCT(--ISERROR(FIND(MID(A81,{1,2},1),"ABCDEFGHIJKLMNOPQRSTUVWXYZ")))&gt;0,"문자 오류",IF(AND(D81&lt;&gt;"",LEFT(D81,2)&lt;&gt;A81),"기본값 불일치",IF(COUNTIF($A$5:$A$200,A81)&gt;1,"중복","OK")))))</f>
        <v/>
      </c>
    </row>
    <row r="82" spans="1:8" x14ac:dyDescent="0.3">
      <c r="A82" s="11"/>
      <c r="B82" s="3" t="str">
        <f t="shared" si="2"/>
        <v/>
      </c>
      <c r="C82" s="12"/>
      <c r="D82" s="11"/>
      <c r="E82" s="11"/>
      <c r="F82" s="12"/>
      <c r="G82" s="12"/>
      <c r="H82" s="3" t="str">
        <f>IF(A82="","",IF(LEN(A82)&lt;&gt;2,"2자리 아님",IF(SUMPRODUCT(--ISERROR(FIND(MID(A82,{1,2},1),"ABCDEFGHIJKLMNOPQRSTUVWXYZ")))&gt;0,"문자 오류",IF(AND(D82&lt;&gt;"",LEFT(D82,2)&lt;&gt;A82),"기본값 불일치",IF(COUNTIF($A$5:$A$200,A82)&gt;1,"중복","OK")))))</f>
        <v/>
      </c>
    </row>
    <row r="83" spans="1:8" x14ac:dyDescent="0.3">
      <c r="A83" s="11"/>
      <c r="B83" s="3" t="str">
        <f t="shared" si="2"/>
        <v/>
      </c>
      <c r="C83" s="12"/>
      <c r="D83" s="11"/>
      <c r="E83" s="11"/>
      <c r="F83" s="12"/>
      <c r="G83" s="12"/>
      <c r="H83" s="3" t="str">
        <f>IF(A83="","",IF(LEN(A83)&lt;&gt;2,"2자리 아님",IF(SUMPRODUCT(--ISERROR(FIND(MID(A83,{1,2},1),"ABCDEFGHIJKLMNOPQRSTUVWXYZ")))&gt;0,"문자 오류",IF(AND(D83&lt;&gt;"",LEFT(D83,2)&lt;&gt;A83),"기본값 불일치",IF(COUNTIF($A$5:$A$200,A83)&gt;1,"중복","OK")))))</f>
        <v/>
      </c>
    </row>
    <row r="84" spans="1:8" x14ac:dyDescent="0.3">
      <c r="A84" s="11"/>
      <c r="B84" s="3" t="str">
        <f t="shared" si="2"/>
        <v/>
      </c>
      <c r="C84" s="12"/>
      <c r="D84" s="11"/>
      <c r="E84" s="11"/>
      <c r="F84" s="12"/>
      <c r="G84" s="12"/>
      <c r="H84" s="3" t="str">
        <f>IF(A84="","",IF(LEN(A84)&lt;&gt;2,"2자리 아님",IF(SUMPRODUCT(--ISERROR(FIND(MID(A84,{1,2},1),"ABCDEFGHIJKLMNOPQRSTUVWXYZ")))&gt;0,"문자 오류",IF(AND(D84&lt;&gt;"",LEFT(D84,2)&lt;&gt;A84),"기본값 불일치",IF(COUNTIF($A$5:$A$200,A84)&gt;1,"중복","OK")))))</f>
        <v/>
      </c>
    </row>
    <row r="85" spans="1:8" x14ac:dyDescent="0.3">
      <c r="A85" s="11"/>
      <c r="B85" s="3" t="str">
        <f t="shared" si="2"/>
        <v/>
      </c>
      <c r="C85" s="12"/>
      <c r="D85" s="11"/>
      <c r="E85" s="11"/>
      <c r="F85" s="12"/>
      <c r="G85" s="12"/>
      <c r="H85" s="3" t="str">
        <f>IF(A85="","",IF(LEN(A85)&lt;&gt;2,"2자리 아님",IF(SUMPRODUCT(--ISERROR(FIND(MID(A85,{1,2},1),"ABCDEFGHIJKLMNOPQRSTUVWXYZ")))&gt;0,"문자 오류",IF(AND(D85&lt;&gt;"",LEFT(D85,2)&lt;&gt;A85),"기본값 불일치",IF(COUNTIF($A$5:$A$200,A85)&gt;1,"중복","OK")))))</f>
        <v/>
      </c>
    </row>
    <row r="86" spans="1:8" x14ac:dyDescent="0.3">
      <c r="A86" s="11"/>
      <c r="B86" s="3" t="str">
        <f t="shared" si="2"/>
        <v/>
      </c>
      <c r="C86" s="12"/>
      <c r="D86" s="11"/>
      <c r="E86" s="11"/>
      <c r="F86" s="12"/>
      <c r="G86" s="12"/>
      <c r="H86" s="3" t="str">
        <f>IF(A86="","",IF(LEN(A86)&lt;&gt;2,"2자리 아님",IF(SUMPRODUCT(--ISERROR(FIND(MID(A86,{1,2},1),"ABCDEFGHIJKLMNOPQRSTUVWXYZ")))&gt;0,"문자 오류",IF(AND(D86&lt;&gt;"",LEFT(D86,2)&lt;&gt;A86),"기본값 불일치",IF(COUNTIF($A$5:$A$200,A86)&gt;1,"중복","OK")))))</f>
        <v/>
      </c>
    </row>
    <row r="87" spans="1:8" x14ac:dyDescent="0.3">
      <c r="A87" s="11"/>
      <c r="B87" s="3" t="str">
        <f t="shared" si="2"/>
        <v/>
      </c>
      <c r="C87" s="12"/>
      <c r="D87" s="11"/>
      <c r="E87" s="11"/>
      <c r="F87" s="12"/>
      <c r="G87" s="12"/>
      <c r="H87" s="3" t="str">
        <f>IF(A87="","",IF(LEN(A87)&lt;&gt;2,"2자리 아님",IF(SUMPRODUCT(--ISERROR(FIND(MID(A87,{1,2},1),"ABCDEFGHIJKLMNOPQRSTUVWXYZ")))&gt;0,"문자 오류",IF(AND(D87&lt;&gt;"",LEFT(D87,2)&lt;&gt;A87),"기본값 불일치",IF(COUNTIF($A$5:$A$200,A87)&gt;1,"중복","OK")))))</f>
        <v/>
      </c>
    </row>
    <row r="88" spans="1:8" x14ac:dyDescent="0.3">
      <c r="A88" s="11"/>
      <c r="B88" s="3" t="str">
        <f t="shared" si="2"/>
        <v/>
      </c>
      <c r="C88" s="12"/>
      <c r="D88" s="11"/>
      <c r="E88" s="11"/>
      <c r="F88" s="12"/>
      <c r="G88" s="12"/>
      <c r="H88" s="3" t="str">
        <f>IF(A88="","",IF(LEN(A88)&lt;&gt;2,"2자리 아님",IF(SUMPRODUCT(--ISERROR(FIND(MID(A88,{1,2},1),"ABCDEFGHIJKLMNOPQRSTUVWXYZ")))&gt;0,"문자 오류",IF(AND(D88&lt;&gt;"",LEFT(D88,2)&lt;&gt;A88),"기본값 불일치",IF(COUNTIF($A$5:$A$200,A88)&gt;1,"중복","OK")))))</f>
        <v/>
      </c>
    </row>
    <row r="89" spans="1:8" x14ac:dyDescent="0.3">
      <c r="A89" s="11"/>
      <c r="B89" s="3" t="str">
        <f t="shared" si="2"/>
        <v/>
      </c>
      <c r="C89" s="12"/>
      <c r="D89" s="11"/>
      <c r="E89" s="11"/>
      <c r="F89" s="12"/>
      <c r="G89" s="12"/>
      <c r="H89" s="3" t="str">
        <f>IF(A89="","",IF(LEN(A89)&lt;&gt;2,"2자리 아님",IF(SUMPRODUCT(--ISERROR(FIND(MID(A89,{1,2},1),"ABCDEFGHIJKLMNOPQRSTUVWXYZ")))&gt;0,"문자 오류",IF(AND(D89&lt;&gt;"",LEFT(D89,2)&lt;&gt;A89),"기본값 불일치",IF(COUNTIF($A$5:$A$200,A89)&gt;1,"중복","OK")))))</f>
        <v/>
      </c>
    </row>
    <row r="90" spans="1:8" x14ac:dyDescent="0.3">
      <c r="A90" s="11"/>
      <c r="B90" s="3" t="str">
        <f t="shared" si="2"/>
        <v/>
      </c>
      <c r="C90" s="12"/>
      <c r="D90" s="11"/>
      <c r="E90" s="11"/>
      <c r="F90" s="12"/>
      <c r="G90" s="12"/>
      <c r="H90" s="3" t="str">
        <f>IF(A90="","",IF(LEN(A90)&lt;&gt;2,"2자리 아님",IF(SUMPRODUCT(--ISERROR(FIND(MID(A90,{1,2},1),"ABCDEFGHIJKLMNOPQRSTUVWXYZ")))&gt;0,"문자 오류",IF(AND(D90&lt;&gt;"",LEFT(D90,2)&lt;&gt;A90),"기본값 불일치",IF(COUNTIF($A$5:$A$200,A90)&gt;1,"중복","OK")))))</f>
        <v/>
      </c>
    </row>
    <row r="91" spans="1:8" x14ac:dyDescent="0.3">
      <c r="A91" s="11"/>
      <c r="B91" s="3" t="str">
        <f t="shared" si="2"/>
        <v/>
      </c>
      <c r="C91" s="12"/>
      <c r="D91" s="11"/>
      <c r="E91" s="11"/>
      <c r="F91" s="12"/>
      <c r="G91" s="12"/>
      <c r="H91" s="3" t="str">
        <f>IF(A91="","",IF(LEN(A91)&lt;&gt;2,"2자리 아님",IF(SUMPRODUCT(--ISERROR(FIND(MID(A91,{1,2},1),"ABCDEFGHIJKLMNOPQRSTUVWXYZ")))&gt;0,"문자 오류",IF(AND(D91&lt;&gt;"",LEFT(D91,2)&lt;&gt;A91),"기본값 불일치",IF(COUNTIF($A$5:$A$200,A91)&gt;1,"중복","OK")))))</f>
        <v/>
      </c>
    </row>
    <row r="92" spans="1:8" x14ac:dyDescent="0.3">
      <c r="A92" s="11"/>
      <c r="B92" s="3" t="str">
        <f t="shared" si="2"/>
        <v/>
      </c>
      <c r="C92" s="12"/>
      <c r="D92" s="11"/>
      <c r="E92" s="11"/>
      <c r="F92" s="12"/>
      <c r="G92" s="12"/>
      <c r="H92" s="3" t="str">
        <f>IF(A92="","",IF(LEN(A92)&lt;&gt;2,"2자리 아님",IF(SUMPRODUCT(--ISERROR(FIND(MID(A92,{1,2},1),"ABCDEFGHIJKLMNOPQRSTUVWXYZ")))&gt;0,"문자 오류",IF(AND(D92&lt;&gt;"",LEFT(D92,2)&lt;&gt;A92),"기본값 불일치",IF(COUNTIF($A$5:$A$200,A92)&gt;1,"중복","OK")))))</f>
        <v/>
      </c>
    </row>
    <row r="93" spans="1:8" x14ac:dyDescent="0.3">
      <c r="A93" s="11"/>
      <c r="B93" s="3" t="str">
        <f t="shared" si="2"/>
        <v/>
      </c>
      <c r="C93" s="12"/>
      <c r="D93" s="11"/>
      <c r="E93" s="11"/>
      <c r="F93" s="12"/>
      <c r="G93" s="12"/>
      <c r="H93" s="3" t="str">
        <f>IF(A93="","",IF(LEN(A93)&lt;&gt;2,"2자리 아님",IF(SUMPRODUCT(--ISERROR(FIND(MID(A93,{1,2},1),"ABCDEFGHIJKLMNOPQRSTUVWXYZ")))&gt;0,"문자 오류",IF(AND(D93&lt;&gt;"",LEFT(D93,2)&lt;&gt;A93),"기본값 불일치",IF(COUNTIF($A$5:$A$200,A93)&gt;1,"중복","OK")))))</f>
        <v/>
      </c>
    </row>
    <row r="94" spans="1:8" x14ac:dyDescent="0.3">
      <c r="A94" s="11"/>
      <c r="B94" s="3" t="str">
        <f t="shared" si="2"/>
        <v/>
      </c>
      <c r="C94" s="12"/>
      <c r="D94" s="11"/>
      <c r="E94" s="11"/>
      <c r="F94" s="12"/>
      <c r="G94" s="12"/>
      <c r="H94" s="3" t="str">
        <f>IF(A94="","",IF(LEN(A94)&lt;&gt;2,"2자리 아님",IF(SUMPRODUCT(--ISERROR(FIND(MID(A94,{1,2},1),"ABCDEFGHIJKLMNOPQRSTUVWXYZ")))&gt;0,"문자 오류",IF(AND(D94&lt;&gt;"",LEFT(D94,2)&lt;&gt;A94),"기본값 불일치",IF(COUNTIF($A$5:$A$200,A94)&gt;1,"중복","OK")))))</f>
        <v/>
      </c>
    </row>
    <row r="95" spans="1:8" x14ac:dyDescent="0.3">
      <c r="A95" s="11"/>
      <c r="B95" s="3" t="str">
        <f t="shared" si="2"/>
        <v/>
      </c>
      <c r="C95" s="12"/>
      <c r="D95" s="11"/>
      <c r="E95" s="11"/>
      <c r="F95" s="12"/>
      <c r="G95" s="12"/>
      <c r="H95" s="3" t="str">
        <f>IF(A95="","",IF(LEN(A95)&lt;&gt;2,"2자리 아님",IF(SUMPRODUCT(--ISERROR(FIND(MID(A95,{1,2},1),"ABCDEFGHIJKLMNOPQRSTUVWXYZ")))&gt;0,"문자 오류",IF(AND(D95&lt;&gt;"",LEFT(D95,2)&lt;&gt;A95),"기본값 불일치",IF(COUNTIF($A$5:$A$200,A95)&gt;1,"중복","OK")))))</f>
        <v/>
      </c>
    </row>
    <row r="96" spans="1:8" x14ac:dyDescent="0.3">
      <c r="A96" s="11"/>
      <c r="B96" s="3" t="str">
        <f t="shared" si="2"/>
        <v/>
      </c>
      <c r="C96" s="12"/>
      <c r="D96" s="11"/>
      <c r="E96" s="11"/>
      <c r="F96" s="12"/>
      <c r="G96" s="12"/>
      <c r="H96" s="3" t="str">
        <f>IF(A96="","",IF(LEN(A96)&lt;&gt;2,"2자리 아님",IF(SUMPRODUCT(--ISERROR(FIND(MID(A96,{1,2},1),"ABCDEFGHIJKLMNOPQRSTUVWXYZ")))&gt;0,"문자 오류",IF(AND(D96&lt;&gt;"",LEFT(D96,2)&lt;&gt;A96),"기본값 불일치",IF(COUNTIF($A$5:$A$200,A96)&gt;1,"중복","OK")))))</f>
        <v/>
      </c>
    </row>
    <row r="97" spans="1:8" x14ac:dyDescent="0.3">
      <c r="A97" s="11"/>
      <c r="B97" s="3" t="str">
        <f t="shared" si="2"/>
        <v/>
      </c>
      <c r="C97" s="12"/>
      <c r="D97" s="11"/>
      <c r="E97" s="11"/>
      <c r="F97" s="12"/>
      <c r="G97" s="12"/>
      <c r="H97" s="3" t="str">
        <f>IF(A97="","",IF(LEN(A97)&lt;&gt;2,"2자리 아님",IF(SUMPRODUCT(--ISERROR(FIND(MID(A97,{1,2},1),"ABCDEFGHIJKLMNOPQRSTUVWXYZ")))&gt;0,"문자 오류",IF(AND(D97&lt;&gt;"",LEFT(D97,2)&lt;&gt;A97),"기본값 불일치",IF(COUNTIF($A$5:$A$200,A97)&gt;1,"중복","OK")))))</f>
        <v/>
      </c>
    </row>
    <row r="98" spans="1:8" x14ac:dyDescent="0.3">
      <c r="A98" s="11"/>
      <c r="B98" s="3" t="str">
        <f t="shared" si="2"/>
        <v/>
      </c>
      <c r="C98" s="12"/>
      <c r="D98" s="11"/>
      <c r="E98" s="11"/>
      <c r="F98" s="12"/>
      <c r="G98" s="12"/>
      <c r="H98" s="3" t="str">
        <f>IF(A98="","",IF(LEN(A98)&lt;&gt;2,"2자리 아님",IF(SUMPRODUCT(--ISERROR(FIND(MID(A98,{1,2},1),"ABCDEFGHIJKLMNOPQRSTUVWXYZ")))&gt;0,"문자 오류",IF(AND(D98&lt;&gt;"",LEFT(D98,2)&lt;&gt;A98),"기본값 불일치",IF(COUNTIF($A$5:$A$200,A98)&gt;1,"중복","OK")))))</f>
        <v/>
      </c>
    </row>
    <row r="99" spans="1:8" x14ac:dyDescent="0.3">
      <c r="A99" s="11"/>
      <c r="B99" s="3" t="str">
        <f t="shared" si="2"/>
        <v/>
      </c>
      <c r="C99" s="12"/>
      <c r="D99" s="11"/>
      <c r="E99" s="11"/>
      <c r="F99" s="12"/>
      <c r="G99" s="12"/>
      <c r="H99" s="3" t="str">
        <f>IF(A99="","",IF(LEN(A99)&lt;&gt;2,"2자리 아님",IF(SUMPRODUCT(--ISERROR(FIND(MID(A99,{1,2},1),"ABCDEFGHIJKLMNOPQRSTUVWXYZ")))&gt;0,"문자 오류",IF(AND(D99&lt;&gt;"",LEFT(D99,2)&lt;&gt;A99),"기본값 불일치",IF(COUNTIF($A$5:$A$200,A99)&gt;1,"중복","OK")))))</f>
        <v/>
      </c>
    </row>
    <row r="100" spans="1:8" x14ac:dyDescent="0.3">
      <c r="A100" s="11"/>
      <c r="B100" s="3" t="str">
        <f t="shared" si="2"/>
        <v/>
      </c>
      <c r="C100" s="12"/>
      <c r="D100" s="11"/>
      <c r="E100" s="11"/>
      <c r="F100" s="12"/>
      <c r="G100" s="12"/>
      <c r="H100" s="3" t="str">
        <f>IF(A100="","",IF(LEN(A100)&lt;&gt;2,"2자리 아님",IF(SUMPRODUCT(--ISERROR(FIND(MID(A100,{1,2},1),"ABCDEFGHIJKLMNOPQRSTUVWXYZ")))&gt;0,"문자 오류",IF(AND(D100&lt;&gt;"",LEFT(D100,2)&lt;&gt;A100),"기본값 불일치",IF(COUNTIF($A$5:$A$200,A100)&gt;1,"중복","OK")))))</f>
        <v/>
      </c>
    </row>
    <row r="101" spans="1:8" x14ac:dyDescent="0.3">
      <c r="A101" s="11"/>
      <c r="B101" s="3" t="str">
        <f t="shared" ref="B101:B132" si="3">IF(A101="","",IF(LEFT(A101,1)="A","내부",IF(LEFT(A101,1)="Z","예비","고객사")))</f>
        <v/>
      </c>
      <c r="C101" s="12"/>
      <c r="D101" s="11"/>
      <c r="E101" s="11"/>
      <c r="F101" s="12"/>
      <c r="G101" s="12"/>
      <c r="H101" s="3" t="str">
        <f>IF(A101="","",IF(LEN(A101)&lt;&gt;2,"2자리 아님",IF(SUMPRODUCT(--ISERROR(FIND(MID(A101,{1,2},1),"ABCDEFGHIJKLMNOPQRSTUVWXYZ")))&gt;0,"문자 오류",IF(AND(D101&lt;&gt;"",LEFT(D101,2)&lt;&gt;A101),"기본값 불일치",IF(COUNTIF($A$5:$A$200,A101)&gt;1,"중복","OK")))))</f>
        <v/>
      </c>
    </row>
    <row r="102" spans="1:8" x14ac:dyDescent="0.3">
      <c r="A102" s="11"/>
      <c r="B102" s="3" t="str">
        <f t="shared" si="3"/>
        <v/>
      </c>
      <c r="C102" s="12"/>
      <c r="D102" s="11"/>
      <c r="E102" s="11"/>
      <c r="F102" s="12"/>
      <c r="G102" s="12"/>
      <c r="H102" s="3" t="str">
        <f>IF(A102="","",IF(LEN(A102)&lt;&gt;2,"2자리 아님",IF(SUMPRODUCT(--ISERROR(FIND(MID(A102,{1,2},1),"ABCDEFGHIJKLMNOPQRSTUVWXYZ")))&gt;0,"문자 오류",IF(AND(D102&lt;&gt;"",LEFT(D102,2)&lt;&gt;A102),"기본값 불일치",IF(COUNTIF($A$5:$A$200,A102)&gt;1,"중복","OK")))))</f>
        <v/>
      </c>
    </row>
    <row r="103" spans="1:8" x14ac:dyDescent="0.3">
      <c r="A103" s="11"/>
      <c r="B103" s="3" t="str">
        <f t="shared" si="3"/>
        <v/>
      </c>
      <c r="C103" s="12"/>
      <c r="D103" s="11"/>
      <c r="E103" s="11"/>
      <c r="F103" s="12"/>
      <c r="G103" s="12"/>
      <c r="H103" s="3" t="str">
        <f>IF(A103="","",IF(LEN(A103)&lt;&gt;2,"2자리 아님",IF(SUMPRODUCT(--ISERROR(FIND(MID(A103,{1,2},1),"ABCDEFGHIJKLMNOPQRSTUVWXYZ")))&gt;0,"문자 오류",IF(AND(D103&lt;&gt;"",LEFT(D103,2)&lt;&gt;A103),"기본값 불일치",IF(COUNTIF($A$5:$A$200,A103)&gt;1,"중복","OK")))))</f>
        <v/>
      </c>
    </row>
    <row r="104" spans="1:8" x14ac:dyDescent="0.3">
      <c r="A104" s="11"/>
      <c r="B104" s="3" t="str">
        <f t="shared" si="3"/>
        <v/>
      </c>
      <c r="C104" s="12"/>
      <c r="D104" s="11"/>
      <c r="E104" s="11"/>
      <c r="F104" s="12"/>
      <c r="G104" s="12"/>
      <c r="H104" s="3" t="str">
        <f>IF(A104="","",IF(LEN(A104)&lt;&gt;2,"2자리 아님",IF(SUMPRODUCT(--ISERROR(FIND(MID(A104,{1,2},1),"ABCDEFGHIJKLMNOPQRSTUVWXYZ")))&gt;0,"문자 오류",IF(AND(D104&lt;&gt;"",LEFT(D104,2)&lt;&gt;A104),"기본값 불일치",IF(COUNTIF($A$5:$A$200,A104)&gt;1,"중복","OK")))))</f>
        <v/>
      </c>
    </row>
    <row r="105" spans="1:8" x14ac:dyDescent="0.3">
      <c r="A105" s="11"/>
      <c r="B105" s="3" t="str">
        <f t="shared" si="3"/>
        <v/>
      </c>
      <c r="C105" s="12"/>
      <c r="D105" s="11"/>
      <c r="E105" s="11"/>
      <c r="F105" s="12"/>
      <c r="G105" s="12"/>
      <c r="H105" s="3" t="str">
        <f>IF(A105="","",IF(LEN(A105)&lt;&gt;2,"2자리 아님",IF(SUMPRODUCT(--ISERROR(FIND(MID(A105,{1,2},1),"ABCDEFGHIJKLMNOPQRSTUVWXYZ")))&gt;0,"문자 오류",IF(AND(D105&lt;&gt;"",LEFT(D105,2)&lt;&gt;A105),"기본값 불일치",IF(COUNTIF($A$5:$A$200,A105)&gt;1,"중복","OK")))))</f>
        <v/>
      </c>
    </row>
    <row r="106" spans="1:8" x14ac:dyDescent="0.3">
      <c r="A106" s="11"/>
      <c r="B106" s="3" t="str">
        <f t="shared" si="3"/>
        <v/>
      </c>
      <c r="C106" s="12"/>
      <c r="D106" s="11"/>
      <c r="E106" s="11"/>
      <c r="F106" s="12"/>
      <c r="G106" s="12"/>
      <c r="H106" s="3" t="str">
        <f>IF(A106="","",IF(LEN(A106)&lt;&gt;2,"2자리 아님",IF(SUMPRODUCT(--ISERROR(FIND(MID(A106,{1,2},1),"ABCDEFGHIJKLMNOPQRSTUVWXYZ")))&gt;0,"문자 오류",IF(AND(D106&lt;&gt;"",LEFT(D106,2)&lt;&gt;A106),"기본값 불일치",IF(COUNTIF($A$5:$A$200,A106)&gt;1,"중복","OK")))))</f>
        <v/>
      </c>
    </row>
    <row r="107" spans="1:8" x14ac:dyDescent="0.3">
      <c r="A107" s="11"/>
      <c r="B107" s="3" t="str">
        <f t="shared" si="3"/>
        <v/>
      </c>
      <c r="C107" s="12"/>
      <c r="D107" s="11"/>
      <c r="E107" s="11"/>
      <c r="F107" s="12"/>
      <c r="G107" s="12"/>
      <c r="H107" s="3" t="str">
        <f>IF(A107="","",IF(LEN(A107)&lt;&gt;2,"2자리 아님",IF(SUMPRODUCT(--ISERROR(FIND(MID(A107,{1,2},1),"ABCDEFGHIJKLMNOPQRSTUVWXYZ")))&gt;0,"문자 오류",IF(AND(D107&lt;&gt;"",LEFT(D107,2)&lt;&gt;A107),"기본값 불일치",IF(COUNTIF($A$5:$A$200,A107)&gt;1,"중복","OK")))))</f>
        <v/>
      </c>
    </row>
    <row r="108" spans="1:8" x14ac:dyDescent="0.3">
      <c r="A108" s="11"/>
      <c r="B108" s="3" t="str">
        <f t="shared" si="3"/>
        <v/>
      </c>
      <c r="C108" s="12"/>
      <c r="D108" s="11"/>
      <c r="E108" s="11"/>
      <c r="F108" s="12"/>
      <c r="G108" s="12"/>
      <c r="H108" s="3" t="str">
        <f>IF(A108="","",IF(LEN(A108)&lt;&gt;2,"2자리 아님",IF(SUMPRODUCT(--ISERROR(FIND(MID(A108,{1,2},1),"ABCDEFGHIJKLMNOPQRSTUVWXYZ")))&gt;0,"문자 오류",IF(AND(D108&lt;&gt;"",LEFT(D108,2)&lt;&gt;A108),"기본값 불일치",IF(COUNTIF($A$5:$A$200,A108)&gt;1,"중복","OK")))))</f>
        <v/>
      </c>
    </row>
    <row r="109" spans="1:8" x14ac:dyDescent="0.3">
      <c r="A109" s="11"/>
      <c r="B109" s="3" t="str">
        <f t="shared" si="3"/>
        <v/>
      </c>
      <c r="C109" s="12"/>
      <c r="D109" s="11"/>
      <c r="E109" s="11"/>
      <c r="F109" s="12"/>
      <c r="G109" s="12"/>
      <c r="H109" s="3" t="str">
        <f>IF(A109="","",IF(LEN(A109)&lt;&gt;2,"2자리 아님",IF(SUMPRODUCT(--ISERROR(FIND(MID(A109,{1,2},1),"ABCDEFGHIJKLMNOPQRSTUVWXYZ")))&gt;0,"문자 오류",IF(AND(D109&lt;&gt;"",LEFT(D109,2)&lt;&gt;A109),"기본값 불일치",IF(COUNTIF($A$5:$A$200,A109)&gt;1,"중복","OK")))))</f>
        <v/>
      </c>
    </row>
    <row r="110" spans="1:8" x14ac:dyDescent="0.3">
      <c r="A110" s="11"/>
      <c r="B110" s="3" t="str">
        <f t="shared" si="3"/>
        <v/>
      </c>
      <c r="C110" s="12"/>
      <c r="D110" s="11"/>
      <c r="E110" s="11"/>
      <c r="F110" s="12"/>
      <c r="G110" s="12"/>
      <c r="H110" s="3" t="str">
        <f>IF(A110="","",IF(LEN(A110)&lt;&gt;2,"2자리 아님",IF(SUMPRODUCT(--ISERROR(FIND(MID(A110,{1,2},1),"ABCDEFGHIJKLMNOPQRSTUVWXYZ")))&gt;0,"문자 오류",IF(AND(D110&lt;&gt;"",LEFT(D110,2)&lt;&gt;A110),"기본값 불일치",IF(COUNTIF($A$5:$A$200,A110)&gt;1,"중복","OK")))))</f>
        <v/>
      </c>
    </row>
    <row r="111" spans="1:8" x14ac:dyDescent="0.3">
      <c r="A111" s="11"/>
      <c r="B111" s="3" t="str">
        <f t="shared" si="3"/>
        <v/>
      </c>
      <c r="C111" s="12"/>
      <c r="D111" s="11"/>
      <c r="E111" s="11"/>
      <c r="F111" s="12"/>
      <c r="G111" s="12"/>
      <c r="H111" s="3" t="str">
        <f>IF(A111="","",IF(LEN(A111)&lt;&gt;2,"2자리 아님",IF(SUMPRODUCT(--ISERROR(FIND(MID(A111,{1,2},1),"ABCDEFGHIJKLMNOPQRSTUVWXYZ")))&gt;0,"문자 오류",IF(AND(D111&lt;&gt;"",LEFT(D111,2)&lt;&gt;A111),"기본값 불일치",IF(COUNTIF($A$5:$A$200,A111)&gt;1,"중복","OK")))))</f>
        <v/>
      </c>
    </row>
    <row r="112" spans="1:8" x14ac:dyDescent="0.3">
      <c r="A112" s="11"/>
      <c r="B112" s="3" t="str">
        <f t="shared" si="3"/>
        <v/>
      </c>
      <c r="C112" s="12"/>
      <c r="D112" s="11"/>
      <c r="E112" s="11"/>
      <c r="F112" s="12"/>
      <c r="G112" s="12"/>
      <c r="H112" s="3" t="str">
        <f>IF(A112="","",IF(LEN(A112)&lt;&gt;2,"2자리 아님",IF(SUMPRODUCT(--ISERROR(FIND(MID(A112,{1,2},1),"ABCDEFGHIJKLMNOPQRSTUVWXYZ")))&gt;0,"문자 오류",IF(AND(D112&lt;&gt;"",LEFT(D112,2)&lt;&gt;A112),"기본값 불일치",IF(COUNTIF($A$5:$A$200,A112)&gt;1,"중복","OK")))))</f>
        <v/>
      </c>
    </row>
    <row r="113" spans="1:8" x14ac:dyDescent="0.3">
      <c r="A113" s="11"/>
      <c r="B113" s="3" t="str">
        <f t="shared" si="3"/>
        <v/>
      </c>
      <c r="C113" s="12"/>
      <c r="D113" s="11"/>
      <c r="E113" s="11"/>
      <c r="F113" s="12"/>
      <c r="G113" s="12"/>
      <c r="H113" s="3" t="str">
        <f>IF(A113="","",IF(LEN(A113)&lt;&gt;2,"2자리 아님",IF(SUMPRODUCT(--ISERROR(FIND(MID(A113,{1,2},1),"ABCDEFGHIJKLMNOPQRSTUVWXYZ")))&gt;0,"문자 오류",IF(AND(D113&lt;&gt;"",LEFT(D113,2)&lt;&gt;A113),"기본값 불일치",IF(COUNTIF($A$5:$A$200,A113)&gt;1,"중복","OK")))))</f>
        <v/>
      </c>
    </row>
    <row r="114" spans="1:8" x14ac:dyDescent="0.3">
      <c r="A114" s="11"/>
      <c r="B114" s="3" t="str">
        <f t="shared" si="3"/>
        <v/>
      </c>
      <c r="C114" s="12"/>
      <c r="D114" s="11"/>
      <c r="E114" s="11"/>
      <c r="F114" s="12"/>
      <c r="G114" s="12"/>
      <c r="H114" s="3" t="str">
        <f>IF(A114="","",IF(LEN(A114)&lt;&gt;2,"2자리 아님",IF(SUMPRODUCT(--ISERROR(FIND(MID(A114,{1,2},1),"ABCDEFGHIJKLMNOPQRSTUVWXYZ")))&gt;0,"문자 오류",IF(AND(D114&lt;&gt;"",LEFT(D114,2)&lt;&gt;A114),"기본값 불일치",IF(COUNTIF($A$5:$A$200,A114)&gt;1,"중복","OK")))))</f>
        <v/>
      </c>
    </row>
    <row r="115" spans="1:8" x14ac:dyDescent="0.3">
      <c r="A115" s="11"/>
      <c r="B115" s="3" t="str">
        <f t="shared" si="3"/>
        <v/>
      </c>
      <c r="C115" s="12"/>
      <c r="D115" s="11"/>
      <c r="E115" s="11"/>
      <c r="F115" s="12"/>
      <c r="G115" s="12"/>
      <c r="H115" s="3" t="str">
        <f>IF(A115="","",IF(LEN(A115)&lt;&gt;2,"2자리 아님",IF(SUMPRODUCT(--ISERROR(FIND(MID(A115,{1,2},1),"ABCDEFGHIJKLMNOPQRSTUVWXYZ")))&gt;0,"문자 오류",IF(AND(D115&lt;&gt;"",LEFT(D115,2)&lt;&gt;A115),"기본값 불일치",IF(COUNTIF($A$5:$A$200,A115)&gt;1,"중복","OK")))))</f>
        <v/>
      </c>
    </row>
    <row r="116" spans="1:8" x14ac:dyDescent="0.3">
      <c r="A116" s="11"/>
      <c r="B116" s="3" t="str">
        <f t="shared" si="3"/>
        <v/>
      </c>
      <c r="C116" s="12"/>
      <c r="D116" s="11"/>
      <c r="E116" s="11"/>
      <c r="F116" s="12"/>
      <c r="G116" s="12"/>
      <c r="H116" s="3" t="str">
        <f>IF(A116="","",IF(LEN(A116)&lt;&gt;2,"2자리 아님",IF(SUMPRODUCT(--ISERROR(FIND(MID(A116,{1,2},1),"ABCDEFGHIJKLMNOPQRSTUVWXYZ")))&gt;0,"문자 오류",IF(AND(D116&lt;&gt;"",LEFT(D116,2)&lt;&gt;A116),"기본값 불일치",IF(COUNTIF($A$5:$A$200,A116)&gt;1,"중복","OK")))))</f>
        <v/>
      </c>
    </row>
    <row r="117" spans="1:8" x14ac:dyDescent="0.3">
      <c r="A117" s="11"/>
      <c r="B117" s="3" t="str">
        <f t="shared" si="3"/>
        <v/>
      </c>
      <c r="C117" s="12"/>
      <c r="D117" s="11"/>
      <c r="E117" s="11"/>
      <c r="F117" s="12"/>
      <c r="G117" s="12"/>
      <c r="H117" s="3" t="str">
        <f>IF(A117="","",IF(LEN(A117)&lt;&gt;2,"2자리 아님",IF(SUMPRODUCT(--ISERROR(FIND(MID(A117,{1,2},1),"ABCDEFGHIJKLMNOPQRSTUVWXYZ")))&gt;0,"문자 오류",IF(AND(D117&lt;&gt;"",LEFT(D117,2)&lt;&gt;A117),"기본값 불일치",IF(COUNTIF($A$5:$A$200,A117)&gt;1,"중복","OK")))))</f>
        <v/>
      </c>
    </row>
    <row r="118" spans="1:8" x14ac:dyDescent="0.3">
      <c r="A118" s="11"/>
      <c r="B118" s="3" t="str">
        <f t="shared" si="3"/>
        <v/>
      </c>
      <c r="C118" s="12"/>
      <c r="D118" s="11"/>
      <c r="E118" s="11"/>
      <c r="F118" s="12"/>
      <c r="G118" s="12"/>
      <c r="H118" s="3" t="str">
        <f>IF(A118="","",IF(LEN(A118)&lt;&gt;2,"2자리 아님",IF(SUMPRODUCT(--ISERROR(FIND(MID(A118,{1,2},1),"ABCDEFGHIJKLMNOPQRSTUVWXYZ")))&gt;0,"문자 오류",IF(AND(D118&lt;&gt;"",LEFT(D118,2)&lt;&gt;A118),"기본값 불일치",IF(COUNTIF($A$5:$A$200,A118)&gt;1,"중복","OK")))))</f>
        <v/>
      </c>
    </row>
    <row r="119" spans="1:8" x14ac:dyDescent="0.3">
      <c r="A119" s="11"/>
      <c r="B119" s="3" t="str">
        <f t="shared" si="3"/>
        <v/>
      </c>
      <c r="C119" s="12"/>
      <c r="D119" s="11"/>
      <c r="E119" s="11"/>
      <c r="F119" s="12"/>
      <c r="G119" s="12"/>
      <c r="H119" s="3" t="str">
        <f>IF(A119="","",IF(LEN(A119)&lt;&gt;2,"2자리 아님",IF(SUMPRODUCT(--ISERROR(FIND(MID(A119,{1,2},1),"ABCDEFGHIJKLMNOPQRSTUVWXYZ")))&gt;0,"문자 오류",IF(AND(D119&lt;&gt;"",LEFT(D119,2)&lt;&gt;A119),"기본값 불일치",IF(COUNTIF($A$5:$A$200,A119)&gt;1,"중복","OK")))))</f>
        <v/>
      </c>
    </row>
    <row r="120" spans="1:8" x14ac:dyDescent="0.3">
      <c r="A120" s="11"/>
      <c r="B120" s="3" t="str">
        <f t="shared" si="3"/>
        <v/>
      </c>
      <c r="C120" s="12"/>
      <c r="D120" s="11"/>
      <c r="E120" s="11"/>
      <c r="F120" s="12"/>
      <c r="G120" s="12"/>
      <c r="H120" s="3" t="str">
        <f>IF(A120="","",IF(LEN(A120)&lt;&gt;2,"2자리 아님",IF(SUMPRODUCT(--ISERROR(FIND(MID(A120,{1,2},1),"ABCDEFGHIJKLMNOPQRSTUVWXYZ")))&gt;0,"문자 오류",IF(AND(D120&lt;&gt;"",LEFT(D120,2)&lt;&gt;A120),"기본값 불일치",IF(COUNTIF($A$5:$A$200,A120)&gt;1,"중복","OK")))))</f>
        <v/>
      </c>
    </row>
    <row r="121" spans="1:8" x14ac:dyDescent="0.3">
      <c r="A121" s="11"/>
      <c r="B121" s="3" t="str">
        <f t="shared" si="3"/>
        <v/>
      </c>
      <c r="C121" s="12"/>
      <c r="D121" s="11"/>
      <c r="E121" s="11"/>
      <c r="F121" s="12"/>
      <c r="G121" s="12"/>
      <c r="H121" s="3" t="str">
        <f>IF(A121="","",IF(LEN(A121)&lt;&gt;2,"2자리 아님",IF(SUMPRODUCT(--ISERROR(FIND(MID(A121,{1,2},1),"ABCDEFGHIJKLMNOPQRSTUVWXYZ")))&gt;0,"문자 오류",IF(AND(D121&lt;&gt;"",LEFT(D121,2)&lt;&gt;A121),"기본값 불일치",IF(COUNTIF($A$5:$A$200,A121)&gt;1,"중복","OK")))))</f>
        <v/>
      </c>
    </row>
    <row r="122" spans="1:8" x14ac:dyDescent="0.3">
      <c r="A122" s="11"/>
      <c r="B122" s="3" t="str">
        <f t="shared" si="3"/>
        <v/>
      </c>
      <c r="C122" s="12"/>
      <c r="D122" s="11"/>
      <c r="E122" s="11"/>
      <c r="F122" s="12"/>
      <c r="G122" s="12"/>
      <c r="H122" s="3" t="str">
        <f>IF(A122="","",IF(LEN(A122)&lt;&gt;2,"2자리 아님",IF(SUMPRODUCT(--ISERROR(FIND(MID(A122,{1,2},1),"ABCDEFGHIJKLMNOPQRSTUVWXYZ")))&gt;0,"문자 오류",IF(AND(D122&lt;&gt;"",LEFT(D122,2)&lt;&gt;A122),"기본값 불일치",IF(COUNTIF($A$5:$A$200,A122)&gt;1,"중복","OK")))))</f>
        <v/>
      </c>
    </row>
    <row r="123" spans="1:8" x14ac:dyDescent="0.3">
      <c r="A123" s="11"/>
      <c r="B123" s="3" t="str">
        <f t="shared" si="3"/>
        <v/>
      </c>
      <c r="C123" s="12"/>
      <c r="D123" s="11"/>
      <c r="E123" s="11"/>
      <c r="F123" s="12"/>
      <c r="G123" s="12"/>
      <c r="H123" s="3" t="str">
        <f>IF(A123="","",IF(LEN(A123)&lt;&gt;2,"2자리 아님",IF(SUMPRODUCT(--ISERROR(FIND(MID(A123,{1,2},1),"ABCDEFGHIJKLMNOPQRSTUVWXYZ")))&gt;0,"문자 오류",IF(AND(D123&lt;&gt;"",LEFT(D123,2)&lt;&gt;A123),"기본값 불일치",IF(COUNTIF($A$5:$A$200,A123)&gt;1,"중복","OK")))))</f>
        <v/>
      </c>
    </row>
    <row r="124" spans="1:8" x14ac:dyDescent="0.3">
      <c r="A124" s="11"/>
      <c r="B124" s="3" t="str">
        <f t="shared" si="3"/>
        <v/>
      </c>
      <c r="C124" s="12"/>
      <c r="D124" s="11"/>
      <c r="E124" s="11"/>
      <c r="F124" s="12"/>
      <c r="G124" s="12"/>
      <c r="H124" s="3" t="str">
        <f>IF(A124="","",IF(LEN(A124)&lt;&gt;2,"2자리 아님",IF(SUMPRODUCT(--ISERROR(FIND(MID(A124,{1,2},1),"ABCDEFGHIJKLMNOPQRSTUVWXYZ")))&gt;0,"문자 오류",IF(AND(D124&lt;&gt;"",LEFT(D124,2)&lt;&gt;A124),"기본값 불일치",IF(COUNTIF($A$5:$A$200,A124)&gt;1,"중복","OK")))))</f>
        <v/>
      </c>
    </row>
    <row r="125" spans="1:8" x14ac:dyDescent="0.3">
      <c r="A125" s="11"/>
      <c r="B125" s="3" t="str">
        <f t="shared" si="3"/>
        <v/>
      </c>
      <c r="C125" s="12"/>
      <c r="D125" s="11"/>
      <c r="E125" s="11"/>
      <c r="F125" s="12"/>
      <c r="G125" s="12"/>
      <c r="H125" s="3" t="str">
        <f>IF(A125="","",IF(LEN(A125)&lt;&gt;2,"2자리 아님",IF(SUMPRODUCT(--ISERROR(FIND(MID(A125,{1,2},1),"ABCDEFGHIJKLMNOPQRSTUVWXYZ")))&gt;0,"문자 오류",IF(AND(D125&lt;&gt;"",LEFT(D125,2)&lt;&gt;A125),"기본값 불일치",IF(COUNTIF($A$5:$A$200,A125)&gt;1,"중복","OK")))))</f>
        <v/>
      </c>
    </row>
    <row r="126" spans="1:8" x14ac:dyDescent="0.3">
      <c r="A126" s="11"/>
      <c r="B126" s="3" t="str">
        <f t="shared" si="3"/>
        <v/>
      </c>
      <c r="C126" s="12"/>
      <c r="D126" s="11"/>
      <c r="E126" s="11"/>
      <c r="F126" s="12"/>
      <c r="G126" s="12"/>
      <c r="H126" s="3" t="str">
        <f>IF(A126="","",IF(LEN(A126)&lt;&gt;2,"2자리 아님",IF(SUMPRODUCT(--ISERROR(FIND(MID(A126,{1,2},1),"ABCDEFGHIJKLMNOPQRSTUVWXYZ")))&gt;0,"문자 오류",IF(AND(D126&lt;&gt;"",LEFT(D126,2)&lt;&gt;A126),"기본값 불일치",IF(COUNTIF($A$5:$A$200,A126)&gt;1,"중복","OK")))))</f>
        <v/>
      </c>
    </row>
    <row r="127" spans="1:8" x14ac:dyDescent="0.3">
      <c r="A127" s="11"/>
      <c r="B127" s="3" t="str">
        <f t="shared" si="3"/>
        <v/>
      </c>
      <c r="C127" s="12"/>
      <c r="D127" s="11"/>
      <c r="E127" s="11"/>
      <c r="F127" s="12"/>
      <c r="G127" s="12"/>
      <c r="H127" s="3" t="str">
        <f>IF(A127="","",IF(LEN(A127)&lt;&gt;2,"2자리 아님",IF(SUMPRODUCT(--ISERROR(FIND(MID(A127,{1,2},1),"ABCDEFGHIJKLMNOPQRSTUVWXYZ")))&gt;0,"문자 오류",IF(AND(D127&lt;&gt;"",LEFT(D127,2)&lt;&gt;A127),"기본값 불일치",IF(COUNTIF($A$5:$A$200,A127)&gt;1,"중복","OK")))))</f>
        <v/>
      </c>
    </row>
    <row r="128" spans="1:8" x14ac:dyDescent="0.3">
      <c r="A128" s="11"/>
      <c r="B128" s="3" t="str">
        <f t="shared" si="3"/>
        <v/>
      </c>
      <c r="C128" s="12"/>
      <c r="D128" s="11"/>
      <c r="E128" s="11"/>
      <c r="F128" s="12"/>
      <c r="G128" s="12"/>
      <c r="H128" s="3" t="str">
        <f>IF(A128="","",IF(LEN(A128)&lt;&gt;2,"2자리 아님",IF(SUMPRODUCT(--ISERROR(FIND(MID(A128,{1,2},1),"ABCDEFGHIJKLMNOPQRSTUVWXYZ")))&gt;0,"문자 오류",IF(AND(D128&lt;&gt;"",LEFT(D128,2)&lt;&gt;A128),"기본값 불일치",IF(COUNTIF($A$5:$A$200,A128)&gt;1,"중복","OK")))))</f>
        <v/>
      </c>
    </row>
    <row r="129" spans="1:8" x14ac:dyDescent="0.3">
      <c r="A129" s="11"/>
      <c r="B129" s="3" t="str">
        <f t="shared" si="3"/>
        <v/>
      </c>
      <c r="C129" s="12"/>
      <c r="D129" s="11"/>
      <c r="E129" s="11"/>
      <c r="F129" s="12"/>
      <c r="G129" s="12"/>
      <c r="H129" s="3" t="str">
        <f>IF(A129="","",IF(LEN(A129)&lt;&gt;2,"2자리 아님",IF(SUMPRODUCT(--ISERROR(FIND(MID(A129,{1,2},1),"ABCDEFGHIJKLMNOPQRSTUVWXYZ")))&gt;0,"문자 오류",IF(AND(D129&lt;&gt;"",LEFT(D129,2)&lt;&gt;A129),"기본값 불일치",IF(COUNTIF($A$5:$A$200,A129)&gt;1,"중복","OK")))))</f>
        <v/>
      </c>
    </row>
    <row r="130" spans="1:8" x14ac:dyDescent="0.3">
      <c r="A130" s="11"/>
      <c r="B130" s="3" t="str">
        <f t="shared" si="3"/>
        <v/>
      </c>
      <c r="C130" s="12"/>
      <c r="D130" s="11"/>
      <c r="E130" s="11"/>
      <c r="F130" s="12"/>
      <c r="G130" s="12"/>
      <c r="H130" s="3" t="str">
        <f>IF(A130="","",IF(LEN(A130)&lt;&gt;2,"2자리 아님",IF(SUMPRODUCT(--ISERROR(FIND(MID(A130,{1,2},1),"ABCDEFGHIJKLMNOPQRSTUVWXYZ")))&gt;0,"문자 오류",IF(AND(D130&lt;&gt;"",LEFT(D130,2)&lt;&gt;A130),"기본값 불일치",IF(COUNTIF($A$5:$A$200,A130)&gt;1,"중복","OK")))))</f>
        <v/>
      </c>
    </row>
    <row r="131" spans="1:8" x14ac:dyDescent="0.3">
      <c r="A131" s="11"/>
      <c r="B131" s="3" t="str">
        <f t="shared" si="3"/>
        <v/>
      </c>
      <c r="C131" s="12"/>
      <c r="D131" s="11"/>
      <c r="E131" s="11"/>
      <c r="F131" s="12"/>
      <c r="G131" s="12"/>
      <c r="H131" s="3" t="str">
        <f>IF(A131="","",IF(LEN(A131)&lt;&gt;2,"2자리 아님",IF(SUMPRODUCT(--ISERROR(FIND(MID(A131,{1,2},1),"ABCDEFGHIJKLMNOPQRSTUVWXYZ")))&gt;0,"문자 오류",IF(AND(D131&lt;&gt;"",LEFT(D131,2)&lt;&gt;A131),"기본값 불일치",IF(COUNTIF($A$5:$A$200,A131)&gt;1,"중복","OK")))))</f>
        <v/>
      </c>
    </row>
    <row r="132" spans="1:8" x14ac:dyDescent="0.3">
      <c r="A132" s="11"/>
      <c r="B132" s="3" t="str">
        <f t="shared" si="3"/>
        <v/>
      </c>
      <c r="C132" s="12"/>
      <c r="D132" s="11"/>
      <c r="E132" s="11"/>
      <c r="F132" s="12"/>
      <c r="G132" s="12"/>
      <c r="H132" s="3" t="str">
        <f>IF(A132="","",IF(LEN(A132)&lt;&gt;2,"2자리 아님",IF(SUMPRODUCT(--ISERROR(FIND(MID(A132,{1,2},1),"ABCDEFGHIJKLMNOPQRSTUVWXYZ")))&gt;0,"문자 오류",IF(AND(D132&lt;&gt;"",LEFT(D132,2)&lt;&gt;A132),"기본값 불일치",IF(COUNTIF($A$5:$A$200,A132)&gt;1,"중복","OK")))))</f>
        <v/>
      </c>
    </row>
    <row r="133" spans="1:8" x14ac:dyDescent="0.3">
      <c r="A133" s="11"/>
      <c r="B133" s="3" t="str">
        <f t="shared" ref="B133:B164" si="4">IF(A133="","",IF(LEFT(A133,1)="A","내부",IF(LEFT(A133,1)="Z","예비","고객사")))</f>
        <v/>
      </c>
      <c r="C133" s="12"/>
      <c r="D133" s="11"/>
      <c r="E133" s="11"/>
      <c r="F133" s="12"/>
      <c r="G133" s="12"/>
      <c r="H133" s="3" t="str">
        <f>IF(A133="","",IF(LEN(A133)&lt;&gt;2,"2자리 아님",IF(SUMPRODUCT(--ISERROR(FIND(MID(A133,{1,2},1),"ABCDEFGHIJKLMNOPQRSTUVWXYZ")))&gt;0,"문자 오류",IF(AND(D133&lt;&gt;"",LEFT(D133,2)&lt;&gt;A133),"기본값 불일치",IF(COUNTIF($A$5:$A$200,A133)&gt;1,"중복","OK")))))</f>
        <v/>
      </c>
    </row>
    <row r="134" spans="1:8" x14ac:dyDescent="0.3">
      <c r="A134" s="11"/>
      <c r="B134" s="3" t="str">
        <f t="shared" si="4"/>
        <v/>
      </c>
      <c r="C134" s="12"/>
      <c r="D134" s="11"/>
      <c r="E134" s="11"/>
      <c r="F134" s="12"/>
      <c r="G134" s="12"/>
      <c r="H134" s="3" t="str">
        <f>IF(A134="","",IF(LEN(A134)&lt;&gt;2,"2자리 아님",IF(SUMPRODUCT(--ISERROR(FIND(MID(A134,{1,2},1),"ABCDEFGHIJKLMNOPQRSTUVWXYZ")))&gt;0,"문자 오류",IF(AND(D134&lt;&gt;"",LEFT(D134,2)&lt;&gt;A134),"기본값 불일치",IF(COUNTIF($A$5:$A$200,A134)&gt;1,"중복","OK")))))</f>
        <v/>
      </c>
    </row>
    <row r="135" spans="1:8" x14ac:dyDescent="0.3">
      <c r="A135" s="11"/>
      <c r="B135" s="3" t="str">
        <f t="shared" si="4"/>
        <v/>
      </c>
      <c r="C135" s="12"/>
      <c r="D135" s="11"/>
      <c r="E135" s="11"/>
      <c r="F135" s="12"/>
      <c r="G135" s="12"/>
      <c r="H135" s="3" t="str">
        <f>IF(A135="","",IF(LEN(A135)&lt;&gt;2,"2자리 아님",IF(SUMPRODUCT(--ISERROR(FIND(MID(A135,{1,2},1),"ABCDEFGHIJKLMNOPQRSTUVWXYZ")))&gt;0,"문자 오류",IF(AND(D135&lt;&gt;"",LEFT(D135,2)&lt;&gt;A135),"기본값 불일치",IF(COUNTIF($A$5:$A$200,A135)&gt;1,"중복","OK")))))</f>
        <v/>
      </c>
    </row>
    <row r="136" spans="1:8" x14ac:dyDescent="0.3">
      <c r="A136" s="11"/>
      <c r="B136" s="3" t="str">
        <f t="shared" si="4"/>
        <v/>
      </c>
      <c r="C136" s="12"/>
      <c r="D136" s="11"/>
      <c r="E136" s="11"/>
      <c r="F136" s="12"/>
      <c r="G136" s="12"/>
      <c r="H136" s="3" t="str">
        <f>IF(A136="","",IF(LEN(A136)&lt;&gt;2,"2자리 아님",IF(SUMPRODUCT(--ISERROR(FIND(MID(A136,{1,2},1),"ABCDEFGHIJKLMNOPQRSTUVWXYZ")))&gt;0,"문자 오류",IF(AND(D136&lt;&gt;"",LEFT(D136,2)&lt;&gt;A136),"기본값 불일치",IF(COUNTIF($A$5:$A$200,A136)&gt;1,"중복","OK")))))</f>
        <v/>
      </c>
    </row>
    <row r="137" spans="1:8" x14ac:dyDescent="0.3">
      <c r="A137" s="11"/>
      <c r="B137" s="3" t="str">
        <f t="shared" si="4"/>
        <v/>
      </c>
      <c r="C137" s="12"/>
      <c r="D137" s="11"/>
      <c r="E137" s="11"/>
      <c r="F137" s="12"/>
      <c r="G137" s="12"/>
      <c r="H137" s="3" t="str">
        <f>IF(A137="","",IF(LEN(A137)&lt;&gt;2,"2자리 아님",IF(SUMPRODUCT(--ISERROR(FIND(MID(A137,{1,2},1),"ABCDEFGHIJKLMNOPQRSTUVWXYZ")))&gt;0,"문자 오류",IF(AND(D137&lt;&gt;"",LEFT(D137,2)&lt;&gt;A137),"기본값 불일치",IF(COUNTIF($A$5:$A$200,A137)&gt;1,"중복","OK")))))</f>
        <v/>
      </c>
    </row>
    <row r="138" spans="1:8" x14ac:dyDescent="0.3">
      <c r="A138" s="11"/>
      <c r="B138" s="3" t="str">
        <f t="shared" si="4"/>
        <v/>
      </c>
      <c r="C138" s="12"/>
      <c r="D138" s="11"/>
      <c r="E138" s="11"/>
      <c r="F138" s="12"/>
      <c r="G138" s="12"/>
      <c r="H138" s="3" t="str">
        <f>IF(A138="","",IF(LEN(A138)&lt;&gt;2,"2자리 아님",IF(SUMPRODUCT(--ISERROR(FIND(MID(A138,{1,2},1),"ABCDEFGHIJKLMNOPQRSTUVWXYZ")))&gt;0,"문자 오류",IF(AND(D138&lt;&gt;"",LEFT(D138,2)&lt;&gt;A138),"기본값 불일치",IF(COUNTIF($A$5:$A$200,A138)&gt;1,"중복","OK")))))</f>
        <v/>
      </c>
    </row>
    <row r="139" spans="1:8" x14ac:dyDescent="0.3">
      <c r="A139" s="11"/>
      <c r="B139" s="3" t="str">
        <f t="shared" si="4"/>
        <v/>
      </c>
      <c r="C139" s="12"/>
      <c r="D139" s="11"/>
      <c r="E139" s="11"/>
      <c r="F139" s="12"/>
      <c r="G139" s="12"/>
      <c r="H139" s="3" t="str">
        <f>IF(A139="","",IF(LEN(A139)&lt;&gt;2,"2자리 아님",IF(SUMPRODUCT(--ISERROR(FIND(MID(A139,{1,2},1),"ABCDEFGHIJKLMNOPQRSTUVWXYZ")))&gt;0,"문자 오류",IF(AND(D139&lt;&gt;"",LEFT(D139,2)&lt;&gt;A139),"기본값 불일치",IF(COUNTIF($A$5:$A$200,A139)&gt;1,"중복","OK")))))</f>
        <v/>
      </c>
    </row>
    <row r="140" spans="1:8" x14ac:dyDescent="0.3">
      <c r="A140" s="11"/>
      <c r="B140" s="3" t="str">
        <f t="shared" si="4"/>
        <v/>
      </c>
      <c r="C140" s="12"/>
      <c r="D140" s="11"/>
      <c r="E140" s="11"/>
      <c r="F140" s="12"/>
      <c r="G140" s="12"/>
      <c r="H140" s="3" t="str">
        <f>IF(A140="","",IF(LEN(A140)&lt;&gt;2,"2자리 아님",IF(SUMPRODUCT(--ISERROR(FIND(MID(A140,{1,2},1),"ABCDEFGHIJKLMNOPQRSTUVWXYZ")))&gt;0,"문자 오류",IF(AND(D140&lt;&gt;"",LEFT(D140,2)&lt;&gt;A140),"기본값 불일치",IF(COUNTIF($A$5:$A$200,A140)&gt;1,"중복","OK")))))</f>
        <v/>
      </c>
    </row>
    <row r="141" spans="1:8" x14ac:dyDescent="0.3">
      <c r="A141" s="11"/>
      <c r="B141" s="3" t="str">
        <f t="shared" si="4"/>
        <v/>
      </c>
      <c r="C141" s="12"/>
      <c r="D141" s="11"/>
      <c r="E141" s="11"/>
      <c r="F141" s="12"/>
      <c r="G141" s="12"/>
      <c r="H141" s="3" t="str">
        <f>IF(A141="","",IF(LEN(A141)&lt;&gt;2,"2자리 아님",IF(SUMPRODUCT(--ISERROR(FIND(MID(A141,{1,2},1),"ABCDEFGHIJKLMNOPQRSTUVWXYZ")))&gt;0,"문자 오류",IF(AND(D141&lt;&gt;"",LEFT(D141,2)&lt;&gt;A141),"기본값 불일치",IF(COUNTIF($A$5:$A$200,A141)&gt;1,"중복","OK")))))</f>
        <v/>
      </c>
    </row>
    <row r="142" spans="1:8" x14ac:dyDescent="0.3">
      <c r="A142" s="11"/>
      <c r="B142" s="3" t="str">
        <f t="shared" si="4"/>
        <v/>
      </c>
      <c r="C142" s="12"/>
      <c r="D142" s="11"/>
      <c r="E142" s="11"/>
      <c r="F142" s="12"/>
      <c r="G142" s="12"/>
      <c r="H142" s="3" t="str">
        <f>IF(A142="","",IF(LEN(A142)&lt;&gt;2,"2자리 아님",IF(SUMPRODUCT(--ISERROR(FIND(MID(A142,{1,2},1),"ABCDEFGHIJKLMNOPQRSTUVWXYZ")))&gt;0,"문자 오류",IF(AND(D142&lt;&gt;"",LEFT(D142,2)&lt;&gt;A142),"기본값 불일치",IF(COUNTIF($A$5:$A$200,A142)&gt;1,"중복","OK")))))</f>
        <v/>
      </c>
    </row>
    <row r="143" spans="1:8" x14ac:dyDescent="0.3">
      <c r="A143" s="11"/>
      <c r="B143" s="3" t="str">
        <f t="shared" si="4"/>
        <v/>
      </c>
      <c r="C143" s="12"/>
      <c r="D143" s="11"/>
      <c r="E143" s="11"/>
      <c r="F143" s="12"/>
      <c r="G143" s="12"/>
      <c r="H143" s="3" t="str">
        <f>IF(A143="","",IF(LEN(A143)&lt;&gt;2,"2자리 아님",IF(SUMPRODUCT(--ISERROR(FIND(MID(A143,{1,2},1),"ABCDEFGHIJKLMNOPQRSTUVWXYZ")))&gt;0,"문자 오류",IF(AND(D143&lt;&gt;"",LEFT(D143,2)&lt;&gt;A143),"기본값 불일치",IF(COUNTIF($A$5:$A$200,A143)&gt;1,"중복","OK")))))</f>
        <v/>
      </c>
    </row>
    <row r="144" spans="1:8" x14ac:dyDescent="0.3">
      <c r="A144" s="11"/>
      <c r="B144" s="3" t="str">
        <f t="shared" si="4"/>
        <v/>
      </c>
      <c r="C144" s="12"/>
      <c r="D144" s="11"/>
      <c r="E144" s="11"/>
      <c r="F144" s="12"/>
      <c r="G144" s="12"/>
      <c r="H144" s="3" t="str">
        <f>IF(A144="","",IF(LEN(A144)&lt;&gt;2,"2자리 아님",IF(SUMPRODUCT(--ISERROR(FIND(MID(A144,{1,2},1),"ABCDEFGHIJKLMNOPQRSTUVWXYZ")))&gt;0,"문자 오류",IF(AND(D144&lt;&gt;"",LEFT(D144,2)&lt;&gt;A144),"기본값 불일치",IF(COUNTIF($A$5:$A$200,A144)&gt;1,"중복","OK")))))</f>
        <v/>
      </c>
    </row>
    <row r="145" spans="1:8" x14ac:dyDescent="0.3">
      <c r="A145" s="11"/>
      <c r="B145" s="3" t="str">
        <f t="shared" si="4"/>
        <v/>
      </c>
      <c r="C145" s="12"/>
      <c r="D145" s="11"/>
      <c r="E145" s="11"/>
      <c r="F145" s="12"/>
      <c r="G145" s="12"/>
      <c r="H145" s="3" t="str">
        <f>IF(A145="","",IF(LEN(A145)&lt;&gt;2,"2자리 아님",IF(SUMPRODUCT(--ISERROR(FIND(MID(A145,{1,2},1),"ABCDEFGHIJKLMNOPQRSTUVWXYZ")))&gt;0,"문자 오류",IF(AND(D145&lt;&gt;"",LEFT(D145,2)&lt;&gt;A145),"기본값 불일치",IF(COUNTIF($A$5:$A$200,A145)&gt;1,"중복","OK")))))</f>
        <v/>
      </c>
    </row>
    <row r="146" spans="1:8" x14ac:dyDescent="0.3">
      <c r="A146" s="11"/>
      <c r="B146" s="3" t="str">
        <f t="shared" si="4"/>
        <v/>
      </c>
      <c r="C146" s="12"/>
      <c r="D146" s="11"/>
      <c r="E146" s="11"/>
      <c r="F146" s="12"/>
      <c r="G146" s="12"/>
      <c r="H146" s="3" t="str">
        <f>IF(A146="","",IF(LEN(A146)&lt;&gt;2,"2자리 아님",IF(SUMPRODUCT(--ISERROR(FIND(MID(A146,{1,2},1),"ABCDEFGHIJKLMNOPQRSTUVWXYZ")))&gt;0,"문자 오류",IF(AND(D146&lt;&gt;"",LEFT(D146,2)&lt;&gt;A146),"기본값 불일치",IF(COUNTIF($A$5:$A$200,A146)&gt;1,"중복","OK")))))</f>
        <v/>
      </c>
    </row>
    <row r="147" spans="1:8" x14ac:dyDescent="0.3">
      <c r="A147" s="11"/>
      <c r="B147" s="3" t="str">
        <f t="shared" si="4"/>
        <v/>
      </c>
      <c r="C147" s="12"/>
      <c r="D147" s="11"/>
      <c r="E147" s="11"/>
      <c r="F147" s="12"/>
      <c r="G147" s="12"/>
      <c r="H147" s="3" t="str">
        <f>IF(A147="","",IF(LEN(A147)&lt;&gt;2,"2자리 아님",IF(SUMPRODUCT(--ISERROR(FIND(MID(A147,{1,2},1),"ABCDEFGHIJKLMNOPQRSTUVWXYZ")))&gt;0,"문자 오류",IF(AND(D147&lt;&gt;"",LEFT(D147,2)&lt;&gt;A147),"기본값 불일치",IF(COUNTIF($A$5:$A$200,A147)&gt;1,"중복","OK")))))</f>
        <v/>
      </c>
    </row>
    <row r="148" spans="1:8" x14ac:dyDescent="0.3">
      <c r="A148" s="11"/>
      <c r="B148" s="3" t="str">
        <f t="shared" si="4"/>
        <v/>
      </c>
      <c r="C148" s="12"/>
      <c r="D148" s="11"/>
      <c r="E148" s="11"/>
      <c r="F148" s="12"/>
      <c r="G148" s="12"/>
      <c r="H148" s="3" t="str">
        <f>IF(A148="","",IF(LEN(A148)&lt;&gt;2,"2자리 아님",IF(SUMPRODUCT(--ISERROR(FIND(MID(A148,{1,2},1),"ABCDEFGHIJKLMNOPQRSTUVWXYZ")))&gt;0,"문자 오류",IF(AND(D148&lt;&gt;"",LEFT(D148,2)&lt;&gt;A148),"기본값 불일치",IF(COUNTIF($A$5:$A$200,A148)&gt;1,"중복","OK")))))</f>
        <v/>
      </c>
    </row>
    <row r="149" spans="1:8" x14ac:dyDescent="0.3">
      <c r="A149" s="11"/>
      <c r="B149" s="3" t="str">
        <f t="shared" si="4"/>
        <v/>
      </c>
      <c r="C149" s="12"/>
      <c r="D149" s="11"/>
      <c r="E149" s="11"/>
      <c r="F149" s="12"/>
      <c r="G149" s="12"/>
      <c r="H149" s="3" t="str">
        <f>IF(A149="","",IF(LEN(A149)&lt;&gt;2,"2자리 아님",IF(SUMPRODUCT(--ISERROR(FIND(MID(A149,{1,2},1),"ABCDEFGHIJKLMNOPQRSTUVWXYZ")))&gt;0,"문자 오류",IF(AND(D149&lt;&gt;"",LEFT(D149,2)&lt;&gt;A149),"기본값 불일치",IF(COUNTIF($A$5:$A$200,A149)&gt;1,"중복","OK")))))</f>
        <v/>
      </c>
    </row>
    <row r="150" spans="1:8" x14ac:dyDescent="0.3">
      <c r="A150" s="11"/>
      <c r="B150" s="3" t="str">
        <f t="shared" si="4"/>
        <v/>
      </c>
      <c r="C150" s="12"/>
      <c r="D150" s="11"/>
      <c r="E150" s="11"/>
      <c r="F150" s="12"/>
      <c r="G150" s="12"/>
      <c r="H150" s="3" t="str">
        <f>IF(A150="","",IF(LEN(A150)&lt;&gt;2,"2자리 아님",IF(SUMPRODUCT(--ISERROR(FIND(MID(A150,{1,2},1),"ABCDEFGHIJKLMNOPQRSTUVWXYZ")))&gt;0,"문자 오류",IF(AND(D150&lt;&gt;"",LEFT(D150,2)&lt;&gt;A150),"기본값 불일치",IF(COUNTIF($A$5:$A$200,A150)&gt;1,"중복","OK")))))</f>
        <v/>
      </c>
    </row>
    <row r="151" spans="1:8" x14ac:dyDescent="0.3">
      <c r="A151" s="11"/>
      <c r="B151" s="3" t="str">
        <f t="shared" si="4"/>
        <v/>
      </c>
      <c r="C151" s="12"/>
      <c r="D151" s="11"/>
      <c r="E151" s="11"/>
      <c r="F151" s="12"/>
      <c r="G151" s="12"/>
      <c r="H151" s="3" t="str">
        <f>IF(A151="","",IF(LEN(A151)&lt;&gt;2,"2자리 아님",IF(SUMPRODUCT(--ISERROR(FIND(MID(A151,{1,2},1),"ABCDEFGHIJKLMNOPQRSTUVWXYZ")))&gt;0,"문자 오류",IF(AND(D151&lt;&gt;"",LEFT(D151,2)&lt;&gt;A151),"기본값 불일치",IF(COUNTIF($A$5:$A$200,A151)&gt;1,"중복","OK")))))</f>
        <v/>
      </c>
    </row>
    <row r="152" spans="1:8" x14ac:dyDescent="0.3">
      <c r="A152" s="11"/>
      <c r="B152" s="3" t="str">
        <f t="shared" si="4"/>
        <v/>
      </c>
      <c r="C152" s="12"/>
      <c r="D152" s="11"/>
      <c r="E152" s="11"/>
      <c r="F152" s="12"/>
      <c r="G152" s="12"/>
      <c r="H152" s="3" t="str">
        <f>IF(A152="","",IF(LEN(A152)&lt;&gt;2,"2자리 아님",IF(SUMPRODUCT(--ISERROR(FIND(MID(A152,{1,2},1),"ABCDEFGHIJKLMNOPQRSTUVWXYZ")))&gt;0,"문자 오류",IF(AND(D152&lt;&gt;"",LEFT(D152,2)&lt;&gt;A152),"기본값 불일치",IF(COUNTIF($A$5:$A$200,A152)&gt;1,"중복","OK")))))</f>
        <v/>
      </c>
    </row>
    <row r="153" spans="1:8" x14ac:dyDescent="0.3">
      <c r="A153" s="11"/>
      <c r="B153" s="3" t="str">
        <f t="shared" si="4"/>
        <v/>
      </c>
      <c r="C153" s="12"/>
      <c r="D153" s="11"/>
      <c r="E153" s="11"/>
      <c r="F153" s="12"/>
      <c r="G153" s="12"/>
      <c r="H153" s="3" t="str">
        <f>IF(A153="","",IF(LEN(A153)&lt;&gt;2,"2자리 아님",IF(SUMPRODUCT(--ISERROR(FIND(MID(A153,{1,2},1),"ABCDEFGHIJKLMNOPQRSTUVWXYZ")))&gt;0,"문자 오류",IF(AND(D153&lt;&gt;"",LEFT(D153,2)&lt;&gt;A153),"기본값 불일치",IF(COUNTIF($A$5:$A$200,A153)&gt;1,"중복","OK")))))</f>
        <v/>
      </c>
    </row>
    <row r="154" spans="1:8" x14ac:dyDescent="0.3">
      <c r="A154" s="11"/>
      <c r="B154" s="3" t="str">
        <f t="shared" si="4"/>
        <v/>
      </c>
      <c r="C154" s="12"/>
      <c r="D154" s="11"/>
      <c r="E154" s="11"/>
      <c r="F154" s="12"/>
      <c r="G154" s="12"/>
      <c r="H154" s="3" t="str">
        <f>IF(A154="","",IF(LEN(A154)&lt;&gt;2,"2자리 아님",IF(SUMPRODUCT(--ISERROR(FIND(MID(A154,{1,2},1),"ABCDEFGHIJKLMNOPQRSTUVWXYZ")))&gt;0,"문자 오류",IF(AND(D154&lt;&gt;"",LEFT(D154,2)&lt;&gt;A154),"기본값 불일치",IF(COUNTIF($A$5:$A$200,A154)&gt;1,"중복","OK")))))</f>
        <v/>
      </c>
    </row>
    <row r="155" spans="1:8" x14ac:dyDescent="0.3">
      <c r="A155" s="11"/>
      <c r="B155" s="3" t="str">
        <f t="shared" si="4"/>
        <v/>
      </c>
      <c r="C155" s="12"/>
      <c r="D155" s="11"/>
      <c r="E155" s="11"/>
      <c r="F155" s="12"/>
      <c r="G155" s="12"/>
      <c r="H155" s="3" t="str">
        <f>IF(A155="","",IF(LEN(A155)&lt;&gt;2,"2자리 아님",IF(SUMPRODUCT(--ISERROR(FIND(MID(A155,{1,2},1),"ABCDEFGHIJKLMNOPQRSTUVWXYZ")))&gt;0,"문자 오류",IF(AND(D155&lt;&gt;"",LEFT(D155,2)&lt;&gt;A155),"기본값 불일치",IF(COUNTIF($A$5:$A$200,A155)&gt;1,"중복","OK")))))</f>
        <v/>
      </c>
    </row>
    <row r="156" spans="1:8" x14ac:dyDescent="0.3">
      <c r="A156" s="11"/>
      <c r="B156" s="3" t="str">
        <f t="shared" si="4"/>
        <v/>
      </c>
      <c r="C156" s="12"/>
      <c r="D156" s="11"/>
      <c r="E156" s="11"/>
      <c r="F156" s="12"/>
      <c r="G156" s="12"/>
      <c r="H156" s="3" t="str">
        <f>IF(A156="","",IF(LEN(A156)&lt;&gt;2,"2자리 아님",IF(SUMPRODUCT(--ISERROR(FIND(MID(A156,{1,2},1),"ABCDEFGHIJKLMNOPQRSTUVWXYZ")))&gt;0,"문자 오류",IF(AND(D156&lt;&gt;"",LEFT(D156,2)&lt;&gt;A156),"기본값 불일치",IF(COUNTIF($A$5:$A$200,A156)&gt;1,"중복","OK")))))</f>
        <v/>
      </c>
    </row>
    <row r="157" spans="1:8" x14ac:dyDescent="0.3">
      <c r="A157" s="11"/>
      <c r="B157" s="3" t="str">
        <f t="shared" si="4"/>
        <v/>
      </c>
      <c r="C157" s="12"/>
      <c r="D157" s="11"/>
      <c r="E157" s="11"/>
      <c r="F157" s="12"/>
      <c r="G157" s="12"/>
      <c r="H157" s="3" t="str">
        <f>IF(A157="","",IF(LEN(A157)&lt;&gt;2,"2자리 아님",IF(SUMPRODUCT(--ISERROR(FIND(MID(A157,{1,2},1),"ABCDEFGHIJKLMNOPQRSTUVWXYZ")))&gt;0,"문자 오류",IF(AND(D157&lt;&gt;"",LEFT(D157,2)&lt;&gt;A157),"기본값 불일치",IF(COUNTIF($A$5:$A$200,A157)&gt;1,"중복","OK")))))</f>
        <v/>
      </c>
    </row>
    <row r="158" spans="1:8" x14ac:dyDescent="0.3">
      <c r="A158" s="11"/>
      <c r="B158" s="3" t="str">
        <f t="shared" si="4"/>
        <v/>
      </c>
      <c r="C158" s="12"/>
      <c r="D158" s="11"/>
      <c r="E158" s="11"/>
      <c r="F158" s="12"/>
      <c r="G158" s="12"/>
      <c r="H158" s="3" t="str">
        <f>IF(A158="","",IF(LEN(A158)&lt;&gt;2,"2자리 아님",IF(SUMPRODUCT(--ISERROR(FIND(MID(A158,{1,2},1),"ABCDEFGHIJKLMNOPQRSTUVWXYZ")))&gt;0,"문자 오류",IF(AND(D158&lt;&gt;"",LEFT(D158,2)&lt;&gt;A158),"기본값 불일치",IF(COUNTIF($A$5:$A$200,A158)&gt;1,"중복","OK")))))</f>
        <v/>
      </c>
    </row>
    <row r="159" spans="1:8" x14ac:dyDescent="0.3">
      <c r="A159" s="11"/>
      <c r="B159" s="3" t="str">
        <f t="shared" si="4"/>
        <v/>
      </c>
      <c r="C159" s="12"/>
      <c r="D159" s="11"/>
      <c r="E159" s="11"/>
      <c r="F159" s="12"/>
      <c r="G159" s="12"/>
      <c r="H159" s="3" t="str">
        <f>IF(A159="","",IF(LEN(A159)&lt;&gt;2,"2자리 아님",IF(SUMPRODUCT(--ISERROR(FIND(MID(A159,{1,2},1),"ABCDEFGHIJKLMNOPQRSTUVWXYZ")))&gt;0,"문자 오류",IF(AND(D159&lt;&gt;"",LEFT(D159,2)&lt;&gt;A159),"기본값 불일치",IF(COUNTIF($A$5:$A$200,A159)&gt;1,"중복","OK")))))</f>
        <v/>
      </c>
    </row>
    <row r="160" spans="1:8" x14ac:dyDescent="0.3">
      <c r="A160" s="11"/>
      <c r="B160" s="3" t="str">
        <f t="shared" si="4"/>
        <v/>
      </c>
      <c r="C160" s="12"/>
      <c r="D160" s="11"/>
      <c r="E160" s="11"/>
      <c r="F160" s="12"/>
      <c r="G160" s="12"/>
      <c r="H160" s="3" t="str">
        <f>IF(A160="","",IF(LEN(A160)&lt;&gt;2,"2자리 아님",IF(SUMPRODUCT(--ISERROR(FIND(MID(A160,{1,2},1),"ABCDEFGHIJKLMNOPQRSTUVWXYZ")))&gt;0,"문자 오류",IF(AND(D160&lt;&gt;"",LEFT(D160,2)&lt;&gt;A160),"기본값 불일치",IF(COUNTIF($A$5:$A$200,A160)&gt;1,"중복","OK")))))</f>
        <v/>
      </c>
    </row>
    <row r="161" spans="1:8" x14ac:dyDescent="0.3">
      <c r="A161" s="11"/>
      <c r="B161" s="3" t="str">
        <f t="shared" si="4"/>
        <v/>
      </c>
      <c r="C161" s="12"/>
      <c r="D161" s="11"/>
      <c r="E161" s="11"/>
      <c r="F161" s="12"/>
      <c r="G161" s="12"/>
      <c r="H161" s="3" t="str">
        <f>IF(A161="","",IF(LEN(A161)&lt;&gt;2,"2자리 아님",IF(SUMPRODUCT(--ISERROR(FIND(MID(A161,{1,2},1),"ABCDEFGHIJKLMNOPQRSTUVWXYZ")))&gt;0,"문자 오류",IF(AND(D161&lt;&gt;"",LEFT(D161,2)&lt;&gt;A161),"기본값 불일치",IF(COUNTIF($A$5:$A$200,A161)&gt;1,"중복","OK")))))</f>
        <v/>
      </c>
    </row>
    <row r="162" spans="1:8" x14ac:dyDescent="0.3">
      <c r="A162" s="11"/>
      <c r="B162" s="3" t="str">
        <f t="shared" si="4"/>
        <v/>
      </c>
      <c r="C162" s="12"/>
      <c r="D162" s="11"/>
      <c r="E162" s="11"/>
      <c r="F162" s="12"/>
      <c r="G162" s="12"/>
      <c r="H162" s="3" t="str">
        <f>IF(A162="","",IF(LEN(A162)&lt;&gt;2,"2자리 아님",IF(SUMPRODUCT(--ISERROR(FIND(MID(A162,{1,2},1),"ABCDEFGHIJKLMNOPQRSTUVWXYZ")))&gt;0,"문자 오류",IF(AND(D162&lt;&gt;"",LEFT(D162,2)&lt;&gt;A162),"기본값 불일치",IF(COUNTIF($A$5:$A$200,A162)&gt;1,"중복","OK")))))</f>
        <v/>
      </c>
    </row>
    <row r="163" spans="1:8" x14ac:dyDescent="0.3">
      <c r="A163" s="11"/>
      <c r="B163" s="3" t="str">
        <f t="shared" si="4"/>
        <v/>
      </c>
      <c r="C163" s="12"/>
      <c r="D163" s="11"/>
      <c r="E163" s="11"/>
      <c r="F163" s="12"/>
      <c r="G163" s="12"/>
      <c r="H163" s="3" t="str">
        <f>IF(A163="","",IF(LEN(A163)&lt;&gt;2,"2자리 아님",IF(SUMPRODUCT(--ISERROR(FIND(MID(A163,{1,2},1),"ABCDEFGHIJKLMNOPQRSTUVWXYZ")))&gt;0,"문자 오류",IF(AND(D163&lt;&gt;"",LEFT(D163,2)&lt;&gt;A163),"기본값 불일치",IF(COUNTIF($A$5:$A$200,A163)&gt;1,"중복","OK")))))</f>
        <v/>
      </c>
    </row>
    <row r="164" spans="1:8" x14ac:dyDescent="0.3">
      <c r="A164" s="11"/>
      <c r="B164" s="3" t="str">
        <f t="shared" si="4"/>
        <v/>
      </c>
      <c r="C164" s="12"/>
      <c r="D164" s="11"/>
      <c r="E164" s="11"/>
      <c r="F164" s="12"/>
      <c r="G164" s="12"/>
      <c r="H164" s="3" t="str">
        <f>IF(A164="","",IF(LEN(A164)&lt;&gt;2,"2자리 아님",IF(SUMPRODUCT(--ISERROR(FIND(MID(A164,{1,2},1),"ABCDEFGHIJKLMNOPQRSTUVWXYZ")))&gt;0,"문자 오류",IF(AND(D164&lt;&gt;"",LEFT(D164,2)&lt;&gt;A164),"기본값 불일치",IF(COUNTIF($A$5:$A$200,A164)&gt;1,"중복","OK")))))</f>
        <v/>
      </c>
    </row>
    <row r="165" spans="1:8" x14ac:dyDescent="0.3">
      <c r="A165" s="11"/>
      <c r="B165" s="3" t="str">
        <f t="shared" ref="B165:B196" si="5">IF(A165="","",IF(LEFT(A165,1)="A","내부",IF(LEFT(A165,1)="Z","예비","고객사")))</f>
        <v/>
      </c>
      <c r="C165" s="12"/>
      <c r="D165" s="11"/>
      <c r="E165" s="11"/>
      <c r="F165" s="12"/>
      <c r="G165" s="12"/>
      <c r="H165" s="3" t="str">
        <f>IF(A165="","",IF(LEN(A165)&lt;&gt;2,"2자리 아님",IF(SUMPRODUCT(--ISERROR(FIND(MID(A165,{1,2},1),"ABCDEFGHIJKLMNOPQRSTUVWXYZ")))&gt;0,"문자 오류",IF(AND(D165&lt;&gt;"",LEFT(D165,2)&lt;&gt;A165),"기본값 불일치",IF(COUNTIF($A$5:$A$200,A165)&gt;1,"중복","OK")))))</f>
        <v/>
      </c>
    </row>
    <row r="166" spans="1:8" x14ac:dyDescent="0.3">
      <c r="A166" s="11"/>
      <c r="B166" s="3" t="str">
        <f t="shared" si="5"/>
        <v/>
      </c>
      <c r="C166" s="12"/>
      <c r="D166" s="11"/>
      <c r="E166" s="11"/>
      <c r="F166" s="12"/>
      <c r="G166" s="12"/>
      <c r="H166" s="3" t="str">
        <f>IF(A166="","",IF(LEN(A166)&lt;&gt;2,"2자리 아님",IF(SUMPRODUCT(--ISERROR(FIND(MID(A166,{1,2},1),"ABCDEFGHIJKLMNOPQRSTUVWXYZ")))&gt;0,"문자 오류",IF(AND(D166&lt;&gt;"",LEFT(D166,2)&lt;&gt;A166),"기본값 불일치",IF(COUNTIF($A$5:$A$200,A166)&gt;1,"중복","OK")))))</f>
        <v/>
      </c>
    </row>
    <row r="167" spans="1:8" x14ac:dyDescent="0.3">
      <c r="A167" s="11"/>
      <c r="B167" s="3" t="str">
        <f t="shared" si="5"/>
        <v/>
      </c>
      <c r="C167" s="12"/>
      <c r="D167" s="11"/>
      <c r="E167" s="11"/>
      <c r="F167" s="12"/>
      <c r="G167" s="12"/>
      <c r="H167" s="3" t="str">
        <f>IF(A167="","",IF(LEN(A167)&lt;&gt;2,"2자리 아님",IF(SUMPRODUCT(--ISERROR(FIND(MID(A167,{1,2},1),"ABCDEFGHIJKLMNOPQRSTUVWXYZ")))&gt;0,"문자 오류",IF(AND(D167&lt;&gt;"",LEFT(D167,2)&lt;&gt;A167),"기본값 불일치",IF(COUNTIF($A$5:$A$200,A167)&gt;1,"중복","OK")))))</f>
        <v/>
      </c>
    </row>
    <row r="168" spans="1:8" x14ac:dyDescent="0.3">
      <c r="A168" s="11"/>
      <c r="B168" s="3" t="str">
        <f t="shared" si="5"/>
        <v/>
      </c>
      <c r="C168" s="12"/>
      <c r="D168" s="11"/>
      <c r="E168" s="11"/>
      <c r="F168" s="12"/>
      <c r="G168" s="12"/>
      <c r="H168" s="3" t="str">
        <f>IF(A168="","",IF(LEN(A168)&lt;&gt;2,"2자리 아님",IF(SUMPRODUCT(--ISERROR(FIND(MID(A168,{1,2},1),"ABCDEFGHIJKLMNOPQRSTUVWXYZ")))&gt;0,"문자 오류",IF(AND(D168&lt;&gt;"",LEFT(D168,2)&lt;&gt;A168),"기본값 불일치",IF(COUNTIF($A$5:$A$200,A168)&gt;1,"중복","OK")))))</f>
        <v/>
      </c>
    </row>
    <row r="169" spans="1:8" x14ac:dyDescent="0.3">
      <c r="A169" s="11"/>
      <c r="B169" s="3" t="str">
        <f t="shared" si="5"/>
        <v/>
      </c>
      <c r="C169" s="12"/>
      <c r="D169" s="11"/>
      <c r="E169" s="11"/>
      <c r="F169" s="12"/>
      <c r="G169" s="12"/>
      <c r="H169" s="3" t="str">
        <f>IF(A169="","",IF(LEN(A169)&lt;&gt;2,"2자리 아님",IF(SUMPRODUCT(--ISERROR(FIND(MID(A169,{1,2},1),"ABCDEFGHIJKLMNOPQRSTUVWXYZ")))&gt;0,"문자 오류",IF(AND(D169&lt;&gt;"",LEFT(D169,2)&lt;&gt;A169),"기본값 불일치",IF(COUNTIF($A$5:$A$200,A169)&gt;1,"중복","OK")))))</f>
        <v/>
      </c>
    </row>
    <row r="170" spans="1:8" x14ac:dyDescent="0.3">
      <c r="A170" s="11"/>
      <c r="B170" s="3" t="str">
        <f t="shared" si="5"/>
        <v/>
      </c>
      <c r="C170" s="12"/>
      <c r="D170" s="11"/>
      <c r="E170" s="11"/>
      <c r="F170" s="12"/>
      <c r="G170" s="12"/>
      <c r="H170" s="3" t="str">
        <f>IF(A170="","",IF(LEN(A170)&lt;&gt;2,"2자리 아님",IF(SUMPRODUCT(--ISERROR(FIND(MID(A170,{1,2},1),"ABCDEFGHIJKLMNOPQRSTUVWXYZ")))&gt;0,"문자 오류",IF(AND(D170&lt;&gt;"",LEFT(D170,2)&lt;&gt;A170),"기본값 불일치",IF(COUNTIF($A$5:$A$200,A170)&gt;1,"중복","OK")))))</f>
        <v/>
      </c>
    </row>
    <row r="171" spans="1:8" x14ac:dyDescent="0.3">
      <c r="A171" s="11"/>
      <c r="B171" s="3" t="str">
        <f t="shared" si="5"/>
        <v/>
      </c>
      <c r="C171" s="12"/>
      <c r="D171" s="11"/>
      <c r="E171" s="11"/>
      <c r="F171" s="12"/>
      <c r="G171" s="12"/>
      <c r="H171" s="3" t="str">
        <f>IF(A171="","",IF(LEN(A171)&lt;&gt;2,"2자리 아님",IF(SUMPRODUCT(--ISERROR(FIND(MID(A171,{1,2},1),"ABCDEFGHIJKLMNOPQRSTUVWXYZ")))&gt;0,"문자 오류",IF(AND(D171&lt;&gt;"",LEFT(D171,2)&lt;&gt;A171),"기본값 불일치",IF(COUNTIF($A$5:$A$200,A171)&gt;1,"중복","OK")))))</f>
        <v/>
      </c>
    </row>
    <row r="172" spans="1:8" x14ac:dyDescent="0.3">
      <c r="A172" s="11"/>
      <c r="B172" s="3" t="str">
        <f t="shared" si="5"/>
        <v/>
      </c>
      <c r="C172" s="12"/>
      <c r="D172" s="11"/>
      <c r="E172" s="11"/>
      <c r="F172" s="12"/>
      <c r="G172" s="12"/>
      <c r="H172" s="3" t="str">
        <f>IF(A172="","",IF(LEN(A172)&lt;&gt;2,"2자리 아님",IF(SUMPRODUCT(--ISERROR(FIND(MID(A172,{1,2},1),"ABCDEFGHIJKLMNOPQRSTUVWXYZ")))&gt;0,"문자 오류",IF(AND(D172&lt;&gt;"",LEFT(D172,2)&lt;&gt;A172),"기본값 불일치",IF(COUNTIF($A$5:$A$200,A172)&gt;1,"중복","OK")))))</f>
        <v/>
      </c>
    </row>
    <row r="173" spans="1:8" x14ac:dyDescent="0.3">
      <c r="A173" s="11"/>
      <c r="B173" s="3" t="str">
        <f t="shared" si="5"/>
        <v/>
      </c>
      <c r="C173" s="12"/>
      <c r="D173" s="11"/>
      <c r="E173" s="11"/>
      <c r="F173" s="12"/>
      <c r="G173" s="12"/>
      <c r="H173" s="3" t="str">
        <f>IF(A173="","",IF(LEN(A173)&lt;&gt;2,"2자리 아님",IF(SUMPRODUCT(--ISERROR(FIND(MID(A173,{1,2},1),"ABCDEFGHIJKLMNOPQRSTUVWXYZ")))&gt;0,"문자 오류",IF(AND(D173&lt;&gt;"",LEFT(D173,2)&lt;&gt;A173),"기본값 불일치",IF(COUNTIF($A$5:$A$200,A173)&gt;1,"중복","OK")))))</f>
        <v/>
      </c>
    </row>
    <row r="174" spans="1:8" x14ac:dyDescent="0.3">
      <c r="A174" s="11"/>
      <c r="B174" s="3" t="str">
        <f t="shared" si="5"/>
        <v/>
      </c>
      <c r="C174" s="12"/>
      <c r="D174" s="11"/>
      <c r="E174" s="11"/>
      <c r="F174" s="12"/>
      <c r="G174" s="12"/>
      <c r="H174" s="3" t="str">
        <f>IF(A174="","",IF(LEN(A174)&lt;&gt;2,"2자리 아님",IF(SUMPRODUCT(--ISERROR(FIND(MID(A174,{1,2},1),"ABCDEFGHIJKLMNOPQRSTUVWXYZ")))&gt;0,"문자 오류",IF(AND(D174&lt;&gt;"",LEFT(D174,2)&lt;&gt;A174),"기본값 불일치",IF(COUNTIF($A$5:$A$200,A174)&gt;1,"중복","OK")))))</f>
        <v/>
      </c>
    </row>
    <row r="175" spans="1:8" x14ac:dyDescent="0.3">
      <c r="A175" s="11"/>
      <c r="B175" s="3" t="str">
        <f t="shared" si="5"/>
        <v/>
      </c>
      <c r="C175" s="12"/>
      <c r="D175" s="11"/>
      <c r="E175" s="11"/>
      <c r="F175" s="12"/>
      <c r="G175" s="12"/>
      <c r="H175" s="3" t="str">
        <f>IF(A175="","",IF(LEN(A175)&lt;&gt;2,"2자리 아님",IF(SUMPRODUCT(--ISERROR(FIND(MID(A175,{1,2},1),"ABCDEFGHIJKLMNOPQRSTUVWXYZ")))&gt;0,"문자 오류",IF(AND(D175&lt;&gt;"",LEFT(D175,2)&lt;&gt;A175),"기본값 불일치",IF(COUNTIF($A$5:$A$200,A175)&gt;1,"중복","OK")))))</f>
        <v/>
      </c>
    </row>
    <row r="176" spans="1:8" x14ac:dyDescent="0.3">
      <c r="A176" s="11"/>
      <c r="B176" s="3" t="str">
        <f t="shared" si="5"/>
        <v/>
      </c>
      <c r="C176" s="12"/>
      <c r="D176" s="11"/>
      <c r="E176" s="11"/>
      <c r="F176" s="12"/>
      <c r="G176" s="12"/>
      <c r="H176" s="3" t="str">
        <f>IF(A176="","",IF(LEN(A176)&lt;&gt;2,"2자리 아님",IF(SUMPRODUCT(--ISERROR(FIND(MID(A176,{1,2},1),"ABCDEFGHIJKLMNOPQRSTUVWXYZ")))&gt;0,"문자 오류",IF(AND(D176&lt;&gt;"",LEFT(D176,2)&lt;&gt;A176),"기본값 불일치",IF(COUNTIF($A$5:$A$200,A176)&gt;1,"중복","OK")))))</f>
        <v/>
      </c>
    </row>
    <row r="177" spans="1:8" x14ac:dyDescent="0.3">
      <c r="A177" s="11"/>
      <c r="B177" s="3" t="str">
        <f t="shared" si="5"/>
        <v/>
      </c>
      <c r="C177" s="12"/>
      <c r="D177" s="11"/>
      <c r="E177" s="11"/>
      <c r="F177" s="12"/>
      <c r="G177" s="12"/>
      <c r="H177" s="3" t="str">
        <f>IF(A177="","",IF(LEN(A177)&lt;&gt;2,"2자리 아님",IF(SUMPRODUCT(--ISERROR(FIND(MID(A177,{1,2},1),"ABCDEFGHIJKLMNOPQRSTUVWXYZ")))&gt;0,"문자 오류",IF(AND(D177&lt;&gt;"",LEFT(D177,2)&lt;&gt;A177),"기본값 불일치",IF(COUNTIF($A$5:$A$200,A177)&gt;1,"중복","OK")))))</f>
        <v/>
      </c>
    </row>
    <row r="178" spans="1:8" x14ac:dyDescent="0.3">
      <c r="A178" s="11"/>
      <c r="B178" s="3" t="str">
        <f t="shared" si="5"/>
        <v/>
      </c>
      <c r="C178" s="12"/>
      <c r="D178" s="11"/>
      <c r="E178" s="11"/>
      <c r="F178" s="12"/>
      <c r="G178" s="12"/>
      <c r="H178" s="3" t="str">
        <f>IF(A178="","",IF(LEN(A178)&lt;&gt;2,"2자리 아님",IF(SUMPRODUCT(--ISERROR(FIND(MID(A178,{1,2},1),"ABCDEFGHIJKLMNOPQRSTUVWXYZ")))&gt;0,"문자 오류",IF(AND(D178&lt;&gt;"",LEFT(D178,2)&lt;&gt;A178),"기본값 불일치",IF(COUNTIF($A$5:$A$200,A178)&gt;1,"중복","OK")))))</f>
        <v/>
      </c>
    </row>
    <row r="179" spans="1:8" x14ac:dyDescent="0.3">
      <c r="A179" s="11"/>
      <c r="B179" s="3" t="str">
        <f t="shared" si="5"/>
        <v/>
      </c>
      <c r="C179" s="12"/>
      <c r="D179" s="11"/>
      <c r="E179" s="11"/>
      <c r="F179" s="12"/>
      <c r="G179" s="12"/>
      <c r="H179" s="3" t="str">
        <f>IF(A179="","",IF(LEN(A179)&lt;&gt;2,"2자리 아님",IF(SUMPRODUCT(--ISERROR(FIND(MID(A179,{1,2},1),"ABCDEFGHIJKLMNOPQRSTUVWXYZ")))&gt;0,"문자 오류",IF(AND(D179&lt;&gt;"",LEFT(D179,2)&lt;&gt;A179),"기본값 불일치",IF(COUNTIF($A$5:$A$200,A179)&gt;1,"중복","OK")))))</f>
        <v/>
      </c>
    </row>
    <row r="180" spans="1:8" x14ac:dyDescent="0.3">
      <c r="A180" s="11"/>
      <c r="B180" s="3" t="str">
        <f t="shared" si="5"/>
        <v/>
      </c>
      <c r="C180" s="12"/>
      <c r="D180" s="11"/>
      <c r="E180" s="11"/>
      <c r="F180" s="12"/>
      <c r="G180" s="12"/>
      <c r="H180" s="3" t="str">
        <f>IF(A180="","",IF(LEN(A180)&lt;&gt;2,"2자리 아님",IF(SUMPRODUCT(--ISERROR(FIND(MID(A180,{1,2},1),"ABCDEFGHIJKLMNOPQRSTUVWXYZ")))&gt;0,"문자 오류",IF(AND(D180&lt;&gt;"",LEFT(D180,2)&lt;&gt;A180),"기본값 불일치",IF(COUNTIF($A$5:$A$200,A180)&gt;1,"중복","OK")))))</f>
        <v/>
      </c>
    </row>
    <row r="181" spans="1:8" x14ac:dyDescent="0.3">
      <c r="A181" s="11"/>
      <c r="B181" s="3" t="str">
        <f t="shared" si="5"/>
        <v/>
      </c>
      <c r="C181" s="12"/>
      <c r="D181" s="11"/>
      <c r="E181" s="11"/>
      <c r="F181" s="12"/>
      <c r="G181" s="12"/>
      <c r="H181" s="3" t="str">
        <f>IF(A181="","",IF(LEN(A181)&lt;&gt;2,"2자리 아님",IF(SUMPRODUCT(--ISERROR(FIND(MID(A181,{1,2},1),"ABCDEFGHIJKLMNOPQRSTUVWXYZ")))&gt;0,"문자 오류",IF(AND(D181&lt;&gt;"",LEFT(D181,2)&lt;&gt;A181),"기본값 불일치",IF(COUNTIF($A$5:$A$200,A181)&gt;1,"중복","OK")))))</f>
        <v/>
      </c>
    </row>
    <row r="182" spans="1:8" x14ac:dyDescent="0.3">
      <c r="A182" s="11"/>
      <c r="B182" s="3" t="str">
        <f t="shared" si="5"/>
        <v/>
      </c>
      <c r="C182" s="12"/>
      <c r="D182" s="11"/>
      <c r="E182" s="11"/>
      <c r="F182" s="12"/>
      <c r="G182" s="12"/>
      <c r="H182" s="3" t="str">
        <f>IF(A182="","",IF(LEN(A182)&lt;&gt;2,"2자리 아님",IF(SUMPRODUCT(--ISERROR(FIND(MID(A182,{1,2},1),"ABCDEFGHIJKLMNOPQRSTUVWXYZ")))&gt;0,"문자 오류",IF(AND(D182&lt;&gt;"",LEFT(D182,2)&lt;&gt;A182),"기본값 불일치",IF(COUNTIF($A$5:$A$200,A182)&gt;1,"중복","OK")))))</f>
        <v/>
      </c>
    </row>
    <row r="183" spans="1:8" x14ac:dyDescent="0.3">
      <c r="A183" s="11"/>
      <c r="B183" s="3" t="str">
        <f t="shared" si="5"/>
        <v/>
      </c>
      <c r="C183" s="12"/>
      <c r="D183" s="11"/>
      <c r="E183" s="11"/>
      <c r="F183" s="12"/>
      <c r="G183" s="12"/>
      <c r="H183" s="3" t="str">
        <f>IF(A183="","",IF(LEN(A183)&lt;&gt;2,"2자리 아님",IF(SUMPRODUCT(--ISERROR(FIND(MID(A183,{1,2},1),"ABCDEFGHIJKLMNOPQRSTUVWXYZ")))&gt;0,"문자 오류",IF(AND(D183&lt;&gt;"",LEFT(D183,2)&lt;&gt;A183),"기본값 불일치",IF(COUNTIF($A$5:$A$200,A183)&gt;1,"중복","OK")))))</f>
        <v/>
      </c>
    </row>
    <row r="184" spans="1:8" x14ac:dyDescent="0.3">
      <c r="A184" s="11"/>
      <c r="B184" s="3" t="str">
        <f t="shared" si="5"/>
        <v/>
      </c>
      <c r="C184" s="12"/>
      <c r="D184" s="11"/>
      <c r="E184" s="11"/>
      <c r="F184" s="12"/>
      <c r="G184" s="12"/>
      <c r="H184" s="3" t="str">
        <f>IF(A184="","",IF(LEN(A184)&lt;&gt;2,"2자리 아님",IF(SUMPRODUCT(--ISERROR(FIND(MID(A184,{1,2},1),"ABCDEFGHIJKLMNOPQRSTUVWXYZ")))&gt;0,"문자 오류",IF(AND(D184&lt;&gt;"",LEFT(D184,2)&lt;&gt;A184),"기본값 불일치",IF(COUNTIF($A$5:$A$200,A184)&gt;1,"중복","OK")))))</f>
        <v/>
      </c>
    </row>
    <row r="185" spans="1:8" x14ac:dyDescent="0.3">
      <c r="A185" s="11"/>
      <c r="B185" s="3" t="str">
        <f t="shared" si="5"/>
        <v/>
      </c>
      <c r="C185" s="12"/>
      <c r="D185" s="11"/>
      <c r="E185" s="11"/>
      <c r="F185" s="12"/>
      <c r="G185" s="12"/>
      <c r="H185" s="3" t="str">
        <f>IF(A185="","",IF(LEN(A185)&lt;&gt;2,"2자리 아님",IF(SUMPRODUCT(--ISERROR(FIND(MID(A185,{1,2},1),"ABCDEFGHIJKLMNOPQRSTUVWXYZ")))&gt;0,"문자 오류",IF(AND(D185&lt;&gt;"",LEFT(D185,2)&lt;&gt;A185),"기본값 불일치",IF(COUNTIF($A$5:$A$200,A185)&gt;1,"중복","OK")))))</f>
        <v/>
      </c>
    </row>
    <row r="186" spans="1:8" x14ac:dyDescent="0.3">
      <c r="A186" s="11"/>
      <c r="B186" s="3" t="str">
        <f t="shared" si="5"/>
        <v/>
      </c>
      <c r="C186" s="12"/>
      <c r="D186" s="11"/>
      <c r="E186" s="11"/>
      <c r="F186" s="12"/>
      <c r="G186" s="12"/>
      <c r="H186" s="3" t="str">
        <f>IF(A186="","",IF(LEN(A186)&lt;&gt;2,"2자리 아님",IF(SUMPRODUCT(--ISERROR(FIND(MID(A186,{1,2},1),"ABCDEFGHIJKLMNOPQRSTUVWXYZ")))&gt;0,"문자 오류",IF(AND(D186&lt;&gt;"",LEFT(D186,2)&lt;&gt;A186),"기본값 불일치",IF(COUNTIF($A$5:$A$200,A186)&gt;1,"중복","OK")))))</f>
        <v/>
      </c>
    </row>
    <row r="187" spans="1:8" x14ac:dyDescent="0.3">
      <c r="A187" s="11"/>
      <c r="B187" s="3" t="str">
        <f t="shared" si="5"/>
        <v/>
      </c>
      <c r="C187" s="12"/>
      <c r="D187" s="11"/>
      <c r="E187" s="11"/>
      <c r="F187" s="12"/>
      <c r="G187" s="12"/>
      <c r="H187" s="3" t="str">
        <f>IF(A187="","",IF(LEN(A187)&lt;&gt;2,"2자리 아님",IF(SUMPRODUCT(--ISERROR(FIND(MID(A187,{1,2},1),"ABCDEFGHIJKLMNOPQRSTUVWXYZ")))&gt;0,"문자 오류",IF(AND(D187&lt;&gt;"",LEFT(D187,2)&lt;&gt;A187),"기본값 불일치",IF(COUNTIF($A$5:$A$200,A187)&gt;1,"중복","OK")))))</f>
        <v/>
      </c>
    </row>
    <row r="188" spans="1:8" x14ac:dyDescent="0.3">
      <c r="A188" s="11"/>
      <c r="B188" s="3" t="str">
        <f t="shared" si="5"/>
        <v/>
      </c>
      <c r="C188" s="12"/>
      <c r="D188" s="11"/>
      <c r="E188" s="11"/>
      <c r="F188" s="12"/>
      <c r="G188" s="12"/>
      <c r="H188" s="3" t="str">
        <f>IF(A188="","",IF(LEN(A188)&lt;&gt;2,"2자리 아님",IF(SUMPRODUCT(--ISERROR(FIND(MID(A188,{1,2},1),"ABCDEFGHIJKLMNOPQRSTUVWXYZ")))&gt;0,"문자 오류",IF(AND(D188&lt;&gt;"",LEFT(D188,2)&lt;&gt;A188),"기본값 불일치",IF(COUNTIF($A$5:$A$200,A188)&gt;1,"중복","OK")))))</f>
        <v/>
      </c>
    </row>
    <row r="189" spans="1:8" x14ac:dyDescent="0.3">
      <c r="A189" s="11"/>
      <c r="B189" s="3" t="str">
        <f t="shared" si="5"/>
        <v/>
      </c>
      <c r="C189" s="12"/>
      <c r="D189" s="11"/>
      <c r="E189" s="11"/>
      <c r="F189" s="12"/>
      <c r="G189" s="12"/>
      <c r="H189" s="3" t="str">
        <f>IF(A189="","",IF(LEN(A189)&lt;&gt;2,"2자리 아님",IF(SUMPRODUCT(--ISERROR(FIND(MID(A189,{1,2},1),"ABCDEFGHIJKLMNOPQRSTUVWXYZ")))&gt;0,"문자 오류",IF(AND(D189&lt;&gt;"",LEFT(D189,2)&lt;&gt;A189),"기본값 불일치",IF(COUNTIF($A$5:$A$200,A189)&gt;1,"중복","OK")))))</f>
        <v/>
      </c>
    </row>
    <row r="190" spans="1:8" x14ac:dyDescent="0.3">
      <c r="A190" s="11"/>
      <c r="B190" s="3" t="str">
        <f t="shared" si="5"/>
        <v/>
      </c>
      <c r="C190" s="12"/>
      <c r="D190" s="11"/>
      <c r="E190" s="11"/>
      <c r="F190" s="12"/>
      <c r="G190" s="12"/>
      <c r="H190" s="3" t="str">
        <f>IF(A190="","",IF(LEN(A190)&lt;&gt;2,"2자리 아님",IF(SUMPRODUCT(--ISERROR(FIND(MID(A190,{1,2},1),"ABCDEFGHIJKLMNOPQRSTUVWXYZ")))&gt;0,"문자 오류",IF(AND(D190&lt;&gt;"",LEFT(D190,2)&lt;&gt;A190),"기본값 불일치",IF(COUNTIF($A$5:$A$200,A190)&gt;1,"중복","OK")))))</f>
        <v/>
      </c>
    </row>
    <row r="191" spans="1:8" x14ac:dyDescent="0.3">
      <c r="A191" s="11"/>
      <c r="B191" s="3" t="str">
        <f t="shared" si="5"/>
        <v/>
      </c>
      <c r="C191" s="12"/>
      <c r="D191" s="11"/>
      <c r="E191" s="11"/>
      <c r="F191" s="12"/>
      <c r="G191" s="12"/>
      <c r="H191" s="3" t="str">
        <f>IF(A191="","",IF(LEN(A191)&lt;&gt;2,"2자리 아님",IF(SUMPRODUCT(--ISERROR(FIND(MID(A191,{1,2},1),"ABCDEFGHIJKLMNOPQRSTUVWXYZ")))&gt;0,"문자 오류",IF(AND(D191&lt;&gt;"",LEFT(D191,2)&lt;&gt;A191),"기본값 불일치",IF(COUNTIF($A$5:$A$200,A191)&gt;1,"중복","OK")))))</f>
        <v/>
      </c>
    </row>
    <row r="192" spans="1:8" x14ac:dyDescent="0.3">
      <c r="A192" s="11"/>
      <c r="B192" s="3" t="str">
        <f t="shared" si="5"/>
        <v/>
      </c>
      <c r="C192" s="12"/>
      <c r="D192" s="11"/>
      <c r="E192" s="11"/>
      <c r="F192" s="12"/>
      <c r="G192" s="12"/>
      <c r="H192" s="3" t="str">
        <f>IF(A192="","",IF(LEN(A192)&lt;&gt;2,"2자리 아님",IF(SUMPRODUCT(--ISERROR(FIND(MID(A192,{1,2},1),"ABCDEFGHIJKLMNOPQRSTUVWXYZ")))&gt;0,"문자 오류",IF(AND(D192&lt;&gt;"",LEFT(D192,2)&lt;&gt;A192),"기본값 불일치",IF(COUNTIF($A$5:$A$200,A192)&gt;1,"중복","OK")))))</f>
        <v/>
      </c>
    </row>
    <row r="193" spans="1:8" x14ac:dyDescent="0.3">
      <c r="A193" s="11"/>
      <c r="B193" s="3" t="str">
        <f t="shared" si="5"/>
        <v/>
      </c>
      <c r="C193" s="12"/>
      <c r="D193" s="11"/>
      <c r="E193" s="11"/>
      <c r="F193" s="12"/>
      <c r="G193" s="12"/>
      <c r="H193" s="3" t="str">
        <f>IF(A193="","",IF(LEN(A193)&lt;&gt;2,"2자리 아님",IF(SUMPRODUCT(--ISERROR(FIND(MID(A193,{1,2},1),"ABCDEFGHIJKLMNOPQRSTUVWXYZ")))&gt;0,"문자 오류",IF(AND(D193&lt;&gt;"",LEFT(D193,2)&lt;&gt;A193),"기본값 불일치",IF(COUNTIF($A$5:$A$200,A193)&gt;1,"중복","OK")))))</f>
        <v/>
      </c>
    </row>
    <row r="194" spans="1:8" x14ac:dyDescent="0.3">
      <c r="A194" s="11"/>
      <c r="B194" s="3" t="str">
        <f t="shared" si="5"/>
        <v/>
      </c>
      <c r="C194" s="12"/>
      <c r="D194" s="11"/>
      <c r="E194" s="11"/>
      <c r="F194" s="12"/>
      <c r="G194" s="12"/>
      <c r="H194" s="3" t="str">
        <f>IF(A194="","",IF(LEN(A194)&lt;&gt;2,"2자리 아님",IF(SUMPRODUCT(--ISERROR(FIND(MID(A194,{1,2},1),"ABCDEFGHIJKLMNOPQRSTUVWXYZ")))&gt;0,"문자 오류",IF(AND(D194&lt;&gt;"",LEFT(D194,2)&lt;&gt;A194),"기본값 불일치",IF(COUNTIF($A$5:$A$200,A194)&gt;1,"중복","OK")))))</f>
        <v/>
      </c>
    </row>
    <row r="195" spans="1:8" x14ac:dyDescent="0.3">
      <c r="A195" s="11"/>
      <c r="B195" s="3" t="str">
        <f t="shared" si="5"/>
        <v/>
      </c>
      <c r="C195" s="12"/>
      <c r="D195" s="11"/>
      <c r="E195" s="11"/>
      <c r="F195" s="12"/>
      <c r="G195" s="12"/>
      <c r="H195" s="3" t="str">
        <f>IF(A195="","",IF(LEN(A195)&lt;&gt;2,"2자리 아님",IF(SUMPRODUCT(--ISERROR(FIND(MID(A195,{1,2},1),"ABCDEFGHIJKLMNOPQRSTUVWXYZ")))&gt;0,"문자 오류",IF(AND(D195&lt;&gt;"",LEFT(D195,2)&lt;&gt;A195),"기본값 불일치",IF(COUNTIF($A$5:$A$200,A195)&gt;1,"중복","OK")))))</f>
        <v/>
      </c>
    </row>
    <row r="196" spans="1:8" x14ac:dyDescent="0.3">
      <c r="A196" s="11"/>
      <c r="B196" s="3" t="str">
        <f t="shared" si="5"/>
        <v/>
      </c>
      <c r="C196" s="12"/>
      <c r="D196" s="11"/>
      <c r="E196" s="11"/>
      <c r="F196" s="12"/>
      <c r="G196" s="12"/>
      <c r="H196" s="3" t="str">
        <f>IF(A196="","",IF(LEN(A196)&lt;&gt;2,"2자리 아님",IF(SUMPRODUCT(--ISERROR(FIND(MID(A196,{1,2},1),"ABCDEFGHIJKLMNOPQRSTUVWXYZ")))&gt;0,"문자 오류",IF(AND(D196&lt;&gt;"",LEFT(D196,2)&lt;&gt;A196),"기본값 불일치",IF(COUNTIF($A$5:$A$200,A196)&gt;1,"중복","OK")))))</f>
        <v/>
      </c>
    </row>
    <row r="197" spans="1:8" x14ac:dyDescent="0.3">
      <c r="A197" s="11"/>
      <c r="B197" s="3" t="str">
        <f t="shared" ref="B197:B228" si="6">IF(A197="","",IF(LEFT(A197,1)="A","내부",IF(LEFT(A197,1)="Z","예비","고객사")))</f>
        <v/>
      </c>
      <c r="C197" s="12"/>
      <c r="D197" s="11"/>
      <c r="E197" s="11"/>
      <c r="F197" s="12"/>
      <c r="G197" s="12"/>
      <c r="H197" s="3" t="str">
        <f>IF(A197="","",IF(LEN(A197)&lt;&gt;2,"2자리 아님",IF(SUMPRODUCT(--ISERROR(FIND(MID(A197,{1,2},1),"ABCDEFGHIJKLMNOPQRSTUVWXYZ")))&gt;0,"문자 오류",IF(AND(D197&lt;&gt;"",LEFT(D197,2)&lt;&gt;A197),"기본값 불일치",IF(COUNTIF($A$5:$A$200,A197)&gt;1,"중복","OK")))))</f>
        <v/>
      </c>
    </row>
    <row r="198" spans="1:8" x14ac:dyDescent="0.3">
      <c r="A198" s="11"/>
      <c r="B198" s="3" t="str">
        <f t="shared" si="6"/>
        <v/>
      </c>
      <c r="C198" s="12"/>
      <c r="D198" s="11"/>
      <c r="E198" s="11"/>
      <c r="F198" s="12"/>
      <c r="G198" s="12"/>
      <c r="H198" s="3" t="str">
        <f>IF(A198="","",IF(LEN(A198)&lt;&gt;2,"2자리 아님",IF(SUMPRODUCT(--ISERROR(FIND(MID(A198,{1,2},1),"ABCDEFGHIJKLMNOPQRSTUVWXYZ")))&gt;0,"문자 오류",IF(AND(D198&lt;&gt;"",LEFT(D198,2)&lt;&gt;A198),"기본값 불일치",IF(COUNTIF($A$5:$A$200,A198)&gt;1,"중복","OK")))))</f>
        <v/>
      </c>
    </row>
    <row r="199" spans="1:8" x14ac:dyDescent="0.3">
      <c r="A199" s="11"/>
      <c r="B199" s="3" t="str">
        <f t="shared" si="6"/>
        <v/>
      </c>
      <c r="C199" s="12"/>
      <c r="D199" s="11"/>
      <c r="E199" s="11"/>
      <c r="F199" s="12"/>
      <c r="G199" s="12"/>
      <c r="H199" s="3" t="str">
        <f>IF(A199="","",IF(LEN(A199)&lt;&gt;2,"2자리 아님",IF(SUMPRODUCT(--ISERROR(FIND(MID(A199,{1,2},1),"ABCDEFGHIJKLMNOPQRSTUVWXYZ")))&gt;0,"문자 오류",IF(AND(D199&lt;&gt;"",LEFT(D199,2)&lt;&gt;A199),"기본값 불일치",IF(COUNTIF($A$5:$A$200,A199)&gt;1,"중복","OK")))))</f>
        <v/>
      </c>
    </row>
    <row r="200" spans="1:8" x14ac:dyDescent="0.3">
      <c r="A200" s="11"/>
      <c r="B200" s="3" t="str">
        <f t="shared" si="6"/>
        <v/>
      </c>
      <c r="C200" s="12"/>
      <c r="D200" s="11"/>
      <c r="E200" s="11"/>
      <c r="F200" s="12"/>
      <c r="G200" s="12"/>
      <c r="H200" s="3" t="str">
        <f>IF(A200="","",IF(LEN(A200)&lt;&gt;2,"2자리 아님",IF(SUMPRODUCT(--ISERROR(FIND(MID(A200,{1,2},1),"ABCDEFGHIJKLMNOPQRSTUVWXYZ")))&gt;0,"문자 오류",IF(AND(D200&lt;&gt;"",LEFT(D200,2)&lt;&gt;A200),"기본값 불일치",IF(COUNTIF($A$5:$A$200,A200)&gt;1,"중복","OK")))))</f>
        <v/>
      </c>
    </row>
  </sheetData>
  <autoFilter ref="A4:H200" xr:uid="{00000000-0009-0000-0000-000006000000}"/>
  <mergeCells count="1">
    <mergeCell ref="A2:H2"/>
  </mergeCells>
  <phoneticPr fontId="7" type="noConversion"/>
  <conditionalFormatting sqref="H5:H200">
    <cfRule type="expression" dxfId="1" priority="1">
      <formula>AND(H5&lt;&gt;"",H5&lt;&gt;"OK")</formula>
    </cfRule>
    <cfRule type="expression" dxfId="0" priority="2">
      <formula>H5="OK"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코드목록!$A$2:$A$20</xm:f>
          </x14:formula1>
          <xm:sqref>E5:E200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/>
  </sheetViews>
  <sheetFormatPr defaultRowHeight="16.5" x14ac:dyDescent="0.3"/>
  <cols>
    <col min="1" max="2" width="12" customWidth="1"/>
    <col min="3" max="3" width="10" customWidth="1"/>
    <col min="4" max="4" width="70" customWidth="1"/>
    <col min="5" max="5" width="10" customWidth="1"/>
  </cols>
  <sheetData>
    <row r="1" spans="1:5" x14ac:dyDescent="0.3">
      <c r="A1" s="2" t="s">
        <v>202</v>
      </c>
      <c r="B1" s="2" t="s">
        <v>203</v>
      </c>
      <c r="C1" s="2" t="s">
        <v>204</v>
      </c>
      <c r="D1" s="2" t="s">
        <v>205</v>
      </c>
      <c r="E1" s="2" t="s">
        <v>206</v>
      </c>
    </row>
    <row r="2" spans="1:5" ht="25.5" x14ac:dyDescent="0.3">
      <c r="A2" s="6" t="s">
        <v>32</v>
      </c>
      <c r="B2" s="6" t="s">
        <v>207</v>
      </c>
      <c r="C2" s="6" t="s">
        <v>184</v>
      </c>
      <c r="D2" s="6" t="s">
        <v>208</v>
      </c>
      <c r="E2" s="6"/>
    </row>
    <row r="3" spans="1:5" x14ac:dyDescent="0.3">
      <c r="A3" s="6" t="s">
        <v>32</v>
      </c>
      <c r="B3" s="6" t="s">
        <v>209</v>
      </c>
      <c r="C3" s="6" t="s">
        <v>184</v>
      </c>
      <c r="D3" s="6" t="s">
        <v>210</v>
      </c>
      <c r="E3" s="6"/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보드코드</vt:lpstr>
      <vt:lpstr>작성규칙</vt:lpstr>
      <vt:lpstr>코드목록</vt:lpstr>
      <vt:lpstr>벤더코드</vt:lpstr>
      <vt:lpstr>칩코드</vt:lpstr>
      <vt:lpstr>명령체계코드</vt:lpstr>
      <vt:lpstr>고객코드</vt:lpstr>
      <vt:lpstr>변경이력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상민 강</cp:lastModifiedBy>
  <dcterms:created xsi:type="dcterms:W3CDTF">2026-09-26T03:25:47Z</dcterms:created>
  <dcterms:modified xsi:type="dcterms:W3CDTF">2026-09-26T03:25:57Z</dcterms:modified>
</cp:coreProperties>
</file>