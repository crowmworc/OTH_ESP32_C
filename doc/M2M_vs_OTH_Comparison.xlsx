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SVN\01.ESP32\OTH_ESP32_C3\doc\"/>
    </mc:Choice>
  </mc:AlternateContent>
  <xr:revisionPtr revIDLastSave="0" documentId="13_ncr:1_{0C08A438-4933-4B04-AC23-BC6F35F6423E}" xr6:coauthVersionLast="47" xr6:coauthVersionMax="47" xr10:uidLastSave="{00000000-0000-0000-0000-000000000000}"/>
  <bookViews>
    <workbookView xWindow="6885" yWindow="1305" windowWidth="32475" windowHeight="18885" xr2:uid="{00000000-000D-0000-FFFF-FFFF00000000}"/>
  </bookViews>
  <sheets>
    <sheet name="요약" sheetId="1" r:id="rId1"/>
    <sheet name="기능 비교" sheetId="2" r:id="rId2"/>
    <sheet name="M2M 명령 결과" sheetId="3" r:id="rId3"/>
    <sheet name="OTH 명령 결과" sheetId="4" r:id="rId4"/>
    <sheet name="OTH Platform 시험" sheetId="5" r:id="rId5"/>
    <sheet name="미검증·추후" sheetId="6" r:id="rId6"/>
  </sheets>
  <definedNames>
    <definedName name="_xlnm._FilterDatabase" localSheetId="2" hidden="1">'M2M 명령 결과'!$A$4:$G$70</definedName>
    <definedName name="_xlnm._FilterDatabase" localSheetId="4" hidden="1">'OTH Platform 시험'!$A$4:$F$25</definedName>
    <definedName name="_xlnm._FilterDatabase" localSheetId="3" hidden="1">'OTH 명령 결과'!$A$4:$F$69</definedName>
    <definedName name="_xlnm._FilterDatabase" localSheetId="1" hidden="1">'기능 비교'!$A$4:$H$46</definedName>
    <definedName name="_xlnm._FilterDatabase" localSheetId="5" hidden="1">미검증·추후!$A$3:$D$18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20" i="1" s="1"/>
  <c r="D11" i="1"/>
  <c r="B11" i="1"/>
  <c r="D10" i="1"/>
  <c r="B10" i="1"/>
  <c r="D9" i="1"/>
  <c r="B9" i="1"/>
  <c r="D8" i="1"/>
  <c r="B8" i="1"/>
  <c r="D7" i="1"/>
  <c r="B7" i="1"/>
  <c r="D6" i="1"/>
  <c r="B6" i="1"/>
  <c r="B12" i="1" l="1"/>
  <c r="D12" i="1"/>
  <c r="C6" i="1"/>
  <c r="C7" i="1" l="1"/>
  <c r="C12" i="1" s="1"/>
  <c r="C8" i="1"/>
  <c r="C9" i="1"/>
  <c r="C10" i="1"/>
  <c r="C11" i="1"/>
  <c r="E6" i="1"/>
  <c r="E12" i="1" s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<sst xmlns="http://schemas.openxmlformats.org/spreadsheetml/2006/main" count="1294" uniqueCount="742">
  <si>
    <t>M2M-AT / OTH-AT 기능 구현 비교 및 시험 결과</t>
  </si>
  <si>
    <t>작성 2026-10-06. M2M: ESP32_C3 (GitHub M2M_ESP32_C3) / OTH: OTH_ESP32_C3 (GitHub OTH_ESP32_C, 626e615). 같은 펌웨어 소스에서 Kconfig로 명령 세트 선택</t>
  </si>
  <si>
    <t>명령 상태 집계 (각 결과 시트의 상태 열을 수식으로 집계)</t>
  </si>
  <si>
    <t>상태</t>
  </si>
  <si>
    <t>M2M-AT 명령</t>
  </si>
  <si>
    <t>M2M 비율</t>
  </si>
  <si>
    <t>OTH-AT 명령</t>
  </si>
  <si>
    <t>OTH 비율</t>
  </si>
  <si>
    <t>검증완료</t>
  </si>
  <si>
    <t>부분검증</t>
  </si>
  <si>
    <t>미검증</t>
  </si>
  <si>
    <t>미구현</t>
  </si>
  <si>
    <t>미지원</t>
  </si>
  <si>
    <t>기타</t>
  </si>
  <si>
    <t>합계</t>
  </si>
  <si>
    <t>※ M2M 66건(Ch.2~6 + 프로젝트 추가 명령), OTH는 명령 묶음 단위 행. OTH AWS 볼륨은 2026-10-06 재구현 결과(추가 명령 포함).</t>
  </si>
  <si>
    <t>OTH Platform 시험 (2026-10-06)</t>
  </si>
  <si>
    <t>판정</t>
  </si>
  <si>
    <t>건수</t>
  </si>
  <si>
    <t>합격</t>
  </si>
  <si>
    <t>합격(관찰사항)</t>
  </si>
  <si>
    <t>미시험</t>
  </si>
  <si>
    <t>핵심 차이</t>
  </si>
  <si>
    <t>1. 명령 체계: M2M-AT(AT*M2M*, 기능별 세분 명령) vs OTH-AT(AT*OTH*, Essentials/MQTT/AWS 볼륨). Wi-Fi·소켓·HTTP·MQTT·보안 코드는 공용.</t>
  </si>
  <si>
    <t>2. AWS: M2M은 AWS 표준 Fleet Provisioning + 임의 토픽 발행/구독(호스트 주도). OTH는 OTH Platform 전용 - SoftAP 페어링 → 인증서버 → 고정 토픽/봉투, 모듈이 자동 접속·FOTA 처리.</t>
  </si>
  <si>
    <t>3. 펌웨어: OTH만 XMODEM(FWUPGRADE), 클라우드 암호화 FOTA, MCU 펌웨어 중계(MOTA_*) 제공.</t>
  </si>
  <si>
    <t>4. 소켓: M2M net_link.c(링크 0~3) / OTH oth_sock.c(TCP 0-2, UDP 3-5, SSL 6) 별도 엔진.</t>
  </si>
  <si>
    <t>5. 프로비저닝: M2M은 BLE(BLE_PROV), OTH는 SoftAP TCP 47000 페어링.</t>
  </si>
  <si>
    <t>6. 이미지 ID: M2M _MM_ / OTH _OT_ → 서로의 이미지를 OTA/FOTA에서 거부.</t>
  </si>
  <si>
    <t>M2M-AT vs OTH-AT 기능 구현 비교</t>
  </si>
  <si>
    <t>빌드 시 Kconfig AT_MODEM_CMDSET로 한쪽 명령 세트만 링크. 하단 공용 구현은 두 빌드가 같은 코드를 사용. 시험 결과 '해당없음' = 그 빌드에 기능 없음</t>
  </si>
  <si>
    <t>영역</t>
  </si>
  <si>
    <t>기능</t>
  </si>
  <si>
    <t>공용 / 구현 모듈</t>
  </si>
  <si>
    <t>차이점</t>
  </si>
  <si>
    <t>M2M 시험</t>
  </si>
  <si>
    <t>OTH 시험</t>
  </si>
  <si>
    <t>기본</t>
  </si>
  <si>
    <t>통신 확인 / 에코</t>
  </si>
  <si>
    <t>AT, ATE</t>
  </si>
  <si>
    <t>cmd_special.c</t>
  </si>
  <si>
    <t>동일</t>
  </si>
  <si>
    <t>버전 / MAC</t>
  </si>
  <si>
    <t>SYS_VER, SYS_MAC</t>
  </si>
  <si>
    <t>SWVER, MAC, MIB 32/33</t>
  </si>
  <si>
    <t>esp_app_desc</t>
  </si>
  <si>
    <t>M2M은 고객코드(AC0) 필드 추가</t>
  </si>
  <si>
    <t>재부팅 / 공장초기화</t>
  </si>
  <si>
    <t>SYS_RST, SYS_FACTORY</t>
  </si>
  <si>
    <t>RESET, FACRESET</t>
  </si>
  <si>
    <t>cmd_sys.c (NV 삭제)</t>
  </si>
  <si>
    <t>OTH FACRESET 1은 다음 부팅 시 공장 SoftAP. OTH는 AWS 파일도 삭제</t>
  </si>
  <si>
    <t>SYS_FACTORY 미검증</t>
  </si>
  <si>
    <t>설정 속성 조회/변경</t>
  </si>
  <si>
    <t>SYS_CONF (Appendix A)</t>
  </si>
  <si>
    <t>MIB / SETMIB (Appendix B)</t>
  </si>
  <si>
    <t>at_nvs_kv.c</t>
  </si>
  <si>
    <t>인덱스 체계 다름. OTH MIB 18/19는 AWS 토픽 modelId/deviceGroup 겸용</t>
  </si>
  <si>
    <t>UART 속도 / 이벤트 끄기</t>
  </si>
  <si>
    <t>SYS_UART</t>
  </si>
  <si>
    <t>SETMIB 36, EVTDEL</t>
  </si>
  <si>
    <t>at_uart.c / at_event.c</t>
  </si>
  <si>
    <t>OTH만 이벤트 끄기(EVTDEL)</t>
  </si>
  <si>
    <t>절전 / 안테나 / 송신출력 / 국가</t>
  </si>
  <si>
    <t>SYS_LSLEEP, SYS_ANTENNA, SYS_COUNTRY</t>
  </si>
  <si>
    <t>HWPS, ANTVER/SETANT, TXGAIN, COUNTRY</t>
  </si>
  <si>
    <t>esp_wifi</t>
  </si>
  <si>
    <t>OTH만 TXGAIN</t>
  </si>
  <si>
    <t>딥슬립</t>
  </si>
  <si>
    <t>SYS_DSLEEP</t>
  </si>
  <si>
    <t>-</t>
  </si>
  <si>
    <t>M2M 문서 본문 공백으로 미구현</t>
  </si>
  <si>
    <t>해당없음</t>
  </si>
  <si>
    <t>Wi-Fi</t>
  </si>
  <si>
    <t>모드 / PHY</t>
  </si>
  <si>
    <t>WF_MODE</t>
  </si>
  <si>
    <t>MODE (802.11 b/g/n)</t>
  </si>
  <si>
    <t>cmd_wifi.c</t>
  </si>
  <si>
    <t>OTH는 모드 명령 없이 접속/APSTART가 자동 전환. OTH MODE는 PHY 프로토콜</t>
  </si>
  <si>
    <t>스캔</t>
  </si>
  <si>
    <t>WF_SCAN</t>
  </si>
  <si>
    <t>SCAN</t>
  </si>
  <si>
    <t>출력 형식만 다름</t>
  </si>
  <si>
    <t>STA 접속 / 해제</t>
  </si>
  <si>
    <t>WF_CONN, WF_DISCONN</t>
  </si>
  <si>
    <t>CRYPTO/PSK/ASSOCIATE, SCONN, DISASSOCIATE</t>
  </si>
  <si>
    <t>at_wifi_sta_join</t>
  </si>
  <si>
    <t>WEP 양쪽 모두 거부(EN 18031-1)</t>
  </si>
  <si>
    <t>자동 재접속 / 프로필</t>
  </si>
  <si>
    <t>WF_APMODE</t>
  </si>
  <si>
    <t>AUCONMODE, SMODE</t>
  </si>
  <si>
    <t>WF_APMODE 저장소</t>
  </si>
  <si>
    <t>OTH는 링크 끊김 시 5초 간격 재접속</t>
  </si>
  <si>
    <t>IP 설정 / 상태</t>
  </si>
  <si>
    <t>WF_IPSTATUS</t>
  </si>
  <si>
    <t>IPCONFIG, NWSTATUS</t>
  </si>
  <si>
    <t>at_wifi_set_station_ip</t>
  </si>
  <si>
    <t>Enterprise(802.1X)</t>
  </si>
  <si>
    <t>WF_EAPCONF, WF_EAPCERT</t>
  </si>
  <si>
    <t>EAPSET, EAPCERT</t>
  </si>
  <si>
    <t>esp_eap_client</t>
  </si>
  <si>
    <t>M2M은 실 802.1X AP+RADIUS로 검증, OTH는 명령 단위만</t>
  </si>
  <si>
    <t>SoftAP</t>
  </si>
  <si>
    <t>WF_APSTART, WF_APSTATION</t>
  </si>
  <si>
    <t>APSTART/APSTOP, APNSET, APLEASEIP</t>
  </si>
  <si>
    <t>at_wifi_start_softap</t>
  </si>
  <si>
    <t>open SoftAP는 Kconfig 허용 시만</t>
  </si>
  <si>
    <t>DHCP 서버</t>
  </si>
  <si>
    <t>NET_DHCPS, NET_DHCP</t>
  </si>
  <si>
    <t>DHCPDSTART/STOP, APLEASEIP</t>
  </si>
  <si>
    <t>esp_netif DHCPS</t>
  </si>
  <si>
    <t>WPS</t>
  </si>
  <si>
    <t>WF_WPS</t>
  </si>
  <si>
    <t>WPS_PBC/PIN/CANCEL</t>
  </si>
  <si>
    <t>esp_wps</t>
  </si>
  <si>
    <t>실제 WPS AP 페어링은 양쪽 미시험</t>
  </si>
  <si>
    <t>BLE 프로비저닝</t>
  </si>
  <si>
    <t>BLE_PROV, BLE_POP</t>
  </si>
  <si>
    <t>cmd_ble_prov.c</t>
  </si>
  <si>
    <t>OTH는 SoftAP 페어링 서버 사용</t>
  </si>
  <si>
    <t>BLE_PROV 미검증</t>
  </si>
  <si>
    <t>IBSS / WDS / P2P</t>
  </si>
  <si>
    <t>ADSTART, WDS, P2P_*</t>
  </si>
  <si>
    <t>ESP32-C3/IDF 미지원</t>
  </si>
  <si>
    <t>TCP/IP</t>
  </si>
  <si>
    <t>소켓 연결 / 서버 / 송수신</t>
  </si>
  <si>
    <t>NET_CONN, NET_SERVER, NET_SEND, NET_DISCONN, NET_STATUS</t>
  </si>
  <si>
    <t>SOCKET, CONNECT, BIND/LISTEN, SEND/SENDTO, CLOSE, LSTATUS</t>
  </si>
  <si>
    <t>net_link.c (M2M) / oth_sock.c (OTH)</t>
  </si>
  <si>
    <t>OTH는 소켓 번호 체계(TCP 0-2, UDP 3-5, SSL 6) 별도 엔진</t>
  </si>
  <si>
    <t>SSL 클라이언트 / 서버</t>
  </si>
  <si>
    <t>NET_CONN ssl, NET_SERVER ssl</t>
  </si>
  <si>
    <t>SSL_CONNECT/SEND/CLOSE, SSL_SVR_*</t>
  </si>
  <si>
    <t>esp_tls</t>
  </si>
  <si>
    <t>OTH SSL_SVR는 실 TLS 클라이언트 접속 미시험</t>
  </si>
  <si>
    <t>투명(데이터) 모드</t>
  </si>
  <si>
    <t>NET_DTMODE</t>
  </si>
  <si>
    <t>DATA_SOCKET, DATA_INTERVAL</t>
  </si>
  <si>
    <t>at_uart passthrough</t>
  </si>
  <si>
    <t>Ping / DNS / Keepalive</t>
  </si>
  <si>
    <t>NET_PING, NET_DNS</t>
  </si>
  <si>
    <t>PING, DNSQUERY, TCPKEEP, NW_CONN</t>
  </si>
  <si>
    <t>lwip</t>
  </si>
  <si>
    <t>OTH만 TCPKEEP(단위 초로 결정)</t>
  </si>
  <si>
    <t>서비스</t>
  </si>
  <si>
    <t>SNTP</t>
  </si>
  <si>
    <t>NET_SNTP, NET_SNTPCONF</t>
  </si>
  <si>
    <t>SNTP, SNTP_GET/SET</t>
  </si>
  <si>
    <t>cmd_net_svc.c</t>
  </si>
  <si>
    <t>OTH AWS는 sndDate용으로 자동 동기화</t>
  </si>
  <si>
    <t>HTTP 클라이언트 / 다운로드</t>
  </si>
  <si>
    <t>NET_HTTPGET/POST/SET/HEADER/STOP, NET_HTTPDOWNLOAD</t>
  </si>
  <si>
    <t>HTTPGET/POST/SET/HEADER/STOP, HTTP_DOWNLOAD</t>
  </si>
  <si>
    <t>cmd_http.c</t>
  </si>
  <si>
    <t>개인키 파일은 양쪽 모두 암호화 NVS 저장</t>
  </si>
  <si>
    <t>저장 파일 조회</t>
  </si>
  <si>
    <t>NET_FILELIST, NET_FILEINFO</t>
  </si>
  <si>
    <t>fs_store.c</t>
  </si>
  <si>
    <t>OTH는 웹 UI로만</t>
  </si>
  <si>
    <t>웹 설정 서버</t>
  </si>
  <si>
    <t>NET_HTTPDSTART/STOP/CONF</t>
  </si>
  <si>
    <t>HTTPD_START/STOP, HTTPD_IDPW</t>
  </si>
  <si>
    <t>cmd_httpd.c + web_auth.c</t>
  </si>
  <si>
    <t>비밀번호 해시 저장·조회 마스킹(OTH 문서는 평문 → 추후 검토)</t>
  </si>
  <si>
    <t>FTP 계정</t>
  </si>
  <si>
    <t>FTPC_SET/GET</t>
  </si>
  <si>
    <t>NV 저장</t>
  </si>
  <si>
    <t>FTP 클라이언트 자체는 없음</t>
  </si>
  <si>
    <t>DDNS / UPnP / LPD</t>
  </si>
  <si>
    <t>DDNS_*, UPNP_*, LPD_*</t>
  </si>
  <si>
    <t>범위 외</t>
  </si>
  <si>
    <t>MQTT</t>
  </si>
  <si>
    <t>브로커 설정 / 접속 / 발행 / 구독</t>
  </si>
  <si>
    <t>MQTT_CONF, MQTT_ALPN, MQTT_CONN, MQTT_PUB, MQTT_SUB, MQTT_CLEAN, MQTT_STATUS</t>
  </si>
  <si>
    <t>MQTT_GET/SET, MQTT_CERT, MQTT_CONNECT, MQTT_PUB, MQTT_SUB</t>
  </si>
  <si>
    <t>esp-mqtt</t>
  </si>
  <si>
    <t>M2M은 mqtts/mTLS/wss/ALPN까지 로컬 브로커 검증, OTH는 persistence 0/1/2·자동 구독</t>
  </si>
  <si>
    <t>AWS</t>
  </si>
  <si>
    <t>페어링(서버정보 수신)</t>
  </si>
  <si>
    <t>AWS_PAIR (폐기, 스텁)</t>
  </si>
  <si>
    <t>SoftAP 페어링 서버 TCP 47000 (OTH Platform)</t>
  </si>
  <si>
    <t>oth_pairing.c (OTH 전용)</t>
  </si>
  <si>
    <t>OTH만 앱→모듈 서버정보·AP정보 전달 구현</t>
  </si>
  <si>
    <t>장치 인증 / 인증서 발급</t>
  </si>
  <si>
    <t>AWS_CLAIMCERT, AWS_PROVISION, AWS_CERT (Fleet Provisioning by Claim)</t>
  </si>
  <si>
    <t>인증서버 토큰·인증서 발급 (/register/token, /register/auth), A001 갱신</t>
  </si>
  <si>
    <t>cmd_aws.c (M2M) / cmd_oth_aws.c (OTH)</t>
  </si>
  <si>
    <t>방식이 완전히 다름: M2M은 AWS 표준 Claim 방식, OTH는 OTH Platform 인증서버</t>
  </si>
  <si>
    <t>접속 / 해제</t>
  </si>
  <si>
    <t>AWS_CONN, AWS_DISC</t>
  </si>
  <si>
    <t>자동(IP 획득 시) + AWS_SEND=A100, AWS_IND</t>
  </si>
  <si>
    <t>OTH는 호스트 명령 없이 모듈이 자동 접속·재시도, LWT(A102)</t>
  </si>
  <si>
    <t>발행 / 수신</t>
  </si>
  <si>
    <t>AWS_PUB, AWS_SUB (임의 토픽)</t>
  </si>
  <si>
    <t>AWS_SEND / AWS_RECV (고정 토픽·메시지 봉투)</t>
  </si>
  <si>
    <t>OTH 토픽 &lt;root&gt;/{Conn|Event|Control|Lwt}/&lt;group&gt;/&lt;model&gt;/&lt;clientId&gt;</t>
  </si>
  <si>
    <t>클라우드 지시 처리</t>
  </si>
  <si>
    <t>A502→A500, A511/A531 모듈 FOTA, A521 MCU FOTA, A101 해지</t>
  </si>
  <si>
    <t>cmd_oth_aws.c, oth_fota.c</t>
  </si>
  <si>
    <t>OTH만. A101은 미시험</t>
  </si>
  <si>
    <t>펌웨어</t>
  </si>
  <si>
    <t>OTA (URL)</t>
  </si>
  <si>
    <t>OTA_CHECK, OTA_UPDATE</t>
  </si>
  <si>
    <t>OTA_VERCHECK, OTA_REQUEST</t>
  </si>
  <si>
    <t>cmd_ota.c</t>
  </si>
  <si>
    <t>OTH 성공 경로는 M2M에서 검증된 공용 코드</t>
  </si>
  <si>
    <t>UART 직접 업그레이드</t>
  </si>
  <si>
    <t>FWUPGRADE (XMODEM)</t>
  </si>
  <si>
    <t>cmd_oth_fwup.c</t>
  </si>
  <si>
    <t>OTH만</t>
  </si>
  <si>
    <t>클라우드 FOTA (암호화)</t>
  </si>
  <si>
    <t>A511/A531 (AES-256-CBC + SHA-256 + 이미지ID)</t>
  </si>
  <si>
    <t>oth_fota.c</t>
  </si>
  <si>
    <t>OTH만. 해시 불일치 거부, 정상 설치·재부팅 확인</t>
  </si>
  <si>
    <t>MCU 펌웨어 중계</t>
  </si>
  <si>
    <t>MOTA_START/READY/DATA/DATA_END</t>
  </si>
  <si>
    <t>OTH만. 비활성 OTA 슬롯 사용</t>
  </si>
  <si>
    <t>이미지 식별 (명령체계 코드)</t>
  </si>
  <si>
    <t>EC3-MA0-N04-40M_MM_AC0</t>
  </si>
  <si>
    <t>EC3-MA0-N04-40M_OT_AC0</t>
  </si>
  <si>
    <t>m2m_version.h</t>
  </si>
  <si>
    <t>서로 다른 빌드 이미지는 OTA/FOTA에서 거부</t>
  </si>
  <si>
    <t>바이너리 UART</t>
  </si>
  <si>
    <t>UARTPROTO (Optional)</t>
  </si>
  <si>
    <t>양쪽 미구현</t>
  </si>
  <si>
    <t>CoAP</t>
  </si>
  <si>
    <t>COAP_* (별도 볼륨)</t>
  </si>
  <si>
    <t>범위 제외 결정(2026-10-05)</t>
  </si>
  <si>
    <t>보안</t>
  </si>
  <si>
    <t>EN 18031-1 공통 기능</t>
  </si>
  <si>
    <t>웹 로그인 강화, NVS 암호화, TLS 1.2+/1.3, 약한 인증서 거부, BLE PoP</t>
  </si>
  <si>
    <t>동일 (공용 코드)</t>
  </si>
  <si>
    <t>web_auth.c, fs_store.c 등</t>
  </si>
  <si>
    <t>OTH 문서 평문 표시 항목은 마스킹 유지(추후 검토)</t>
  </si>
  <si>
    <t>M2M-AT 명령별 구현/시험 결과</t>
  </si>
  <si>
    <t>출처: ESP32_C3/doc/M2M-AT_Command Set_status.xlsx (최종 갱신 2026-09-27). 상태는 이 문서 기준으로 통일(검증필요→미검증, 구현필요→미구현)</t>
  </si>
  <si>
    <t>No</t>
  </si>
  <si>
    <t>장</t>
  </si>
  <si>
    <t>명령 (AT*M2M*)</t>
  </si>
  <si>
    <t>시험 근거 / 비고</t>
  </si>
  <si>
    <t>원 상태(기타)</t>
  </si>
  <si>
    <t>2. Basic AT</t>
  </si>
  <si>
    <t>AT</t>
  </si>
  <si>
    <t>호스트-모듈 통신 확인(핑 테스트)</t>
  </si>
  <si>
    <t>2026-08-29 COM7 실기 라운드트립 확인.</t>
  </si>
  <si>
    <t>ATE</t>
  </si>
  <si>
    <t>커맨드 에코 on/off</t>
  </si>
  <si>
    <t>ATE1 실기 확인.</t>
  </si>
  <si>
    <t>ATV</t>
  </si>
  <si>
    <t>문서 목차에만 언급, 본문에 커맨드 정의 없음</t>
  </si>
  <si>
    <t>코드상 no-op 스텁으로만 존재. 스펙 문서에 실제 동작 정의가 없어 무엇을 검증해야 할지 불명 — 문서 보완 선행 필요.</t>
  </si>
  <si>
    <t>SYS_VER</t>
  </si>
  <si>
    <t>펌웨어 버전/빌드시각 조회</t>
  </si>
  <si>
    <t>[2026-09-26] M2M-AT Command Set v2.0 / M2M_SW Release Naming Guide v2.0 반영: 응답에 &lt;customer_code&gt; 3번째 필드 추가(M2M_FW_CUSTOMER, 예 AC0). *M2M*SYS_VER:OK 01.00 2026-09-26-13:00:58 AC0 로 실기 확인. PROJECT_VER도 이 시점부터 01.00 형식으로 전환(이전 1.0.x 계열 폐기).</t>
  </si>
  <si>
    <t>SYS_MAC</t>
  </si>
  <si>
    <t>MAC 주소 조회</t>
  </si>
  <si>
    <t>실기 확인.</t>
  </si>
  <si>
    <t>SYS_RST</t>
  </si>
  <si>
    <t>모듈 재부팅</t>
  </si>
  <si>
    <t>실제 리부팅(크래시 아님) 확인됨.</t>
  </si>
  <si>
    <t>SYS_FACTORY</t>
  </si>
  <si>
    <t>플래시 설정 공장초기화+재부팅</t>
  </si>
  <si>
    <t>구현은 되어 있으나 파괴적 동작이라 README 실기 검증 목록에서 제외된 것으로 보임. 실기 검증 필요.</t>
  </si>
  <si>
    <t>SYS_LSLEEP</t>
  </si>
  <si>
    <t>절전(파워세이브) 정책 조회/설정</t>
  </si>
  <si>
    <t>[2026-09-26 실기 검증] COM7 실기: mode 1/3 설정 시 wifi 로그로 실제 esp_wifi_set_ps() 적용 확인, query로 값 유지 확인, mode=2 ERROR 0, 잘못된 값(9) ERROR 2 확인. mode=0 설정 후 SYS_RST로 재부팅해도 at_wifi_init()이 저장값을 재적용해 SYS_LSLEEP=? 가 0을 유지함을 확인(영속성 검증).</t>
  </si>
  <si>
    <t>딥슬립 관련 커맨드(추정)</t>
  </si>
  <si>
    <t>스펙 문서 자체가 제목만 있고 본문 내용이 비어 있음(원본 docx 공백). 문서 보완이 먼저 필요하며, 코드도 미구현.</t>
  </si>
  <si>
    <t>SYS_ANTENNA</t>
  </si>
  <si>
    <t>온보드/외장 안테나 선택</t>
  </si>
  <si>
    <t>[2026-09-26 실기 검증] COM7 실기: 기본값 0 확인, type=0 재설정 성공, type=1 ERROR 0, 재조회 시 0 유지, 잘못된 값(5) ERROR 2 확인.</t>
  </si>
  <si>
    <t>UART 보레이트 조회/설정(플래시 저장)</t>
  </si>
  <si>
    <t>115200 get/set 실기 확인.</t>
  </si>
  <si>
    <t>SYS_CONF</t>
  </si>
  <si>
    <t>Appendix A 속성 인덱스 get/set</t>
  </si>
  <si>
    <t>get/set/예약 인덱스 오류케이스까지 실기 확인. 단 Appendix A의 인덱스 33~39 각 항목을 낱낱이 개별 검증한 로그는 없음.</t>
  </si>
  <si>
    <t>SYS_COUNTRY</t>
  </si>
  <si>
    <t>국가/규제 도메인 코드 설정</t>
  </si>
  <si>
    <t>KR/US get/set 실기 확인. ※ ESP32-C3는 2.4GHz 전용 칩이라 Appendix B의 5GHz 채널표는 이 하드웨어에는 물리적으로 적용 불가(기타 항목 참조).</t>
  </si>
  <si>
    <t>3. Wi-Fi 공통</t>
  </si>
  <si>
    <t>Wi-Fi 모드(init/STA/AP/STA+AP) 설정</t>
  </si>
  <si>
    <t>get/set 실기 확인.</t>
  </si>
  <si>
    <t>저장된 프로파일로 자동 재접속(전원인가/재연결 시)</t>
  </si>
  <si>
    <t>[2026-09-09 실기 검증, README Phase 7] query/erase 라운드트립과 type 2→1→0(SoftAP 저장→재현→초기화) 전체 라운드트립 실기 확인.</t>
  </si>
  <si>
    <t>3. Wi-Fi Station</t>
  </si>
  <si>
    <t>주변 AP 스캔</t>
  </si>
  <si>
    <t>실제 주변 AP SSID/RSSI/BSSID/채널/인증방식 정상 수신 확인.</t>
  </si>
  <si>
    <t>WF_CONN</t>
  </si>
  <si>
    <t>AP 접속(STA)</t>
  </si>
  <si>
    <t>실 WPA2 AP 대상 접속 및 비동기 DONE/IND 확인.</t>
  </si>
  <si>
    <t>WF_DISCONN</t>
  </si>
  <si>
    <t>AP 접속 해제</t>
  </si>
  <si>
    <t>정상 동작 및 '호스트 요청 시 비정상단절 알림 억제' 로직까지 실기 확인.</t>
  </si>
  <si>
    <t>WF_EAPCONF</t>
  </si>
  <si>
    <t>802.1X/EAP(WPA-Enterprise) 자격증명 설정</t>
  </si>
  <si>
    <t>[2026-09-13 재검증] 실 인프라로 실제 802.1X 인증 성공. RADIUS 서버는 FreeRADIUS(Docker, C:\Dev\PRJ\80.Docker\RADIUS, PEAP+MSCHAPv2, testuser/testpass123), AP는 NETGEAR Nighthawk R7000(192.168.10.1)의 2.4GHz "netgear" SSID를 WPA/WPA2-Enterprise로 설정하고 RADIUS 서버(192.168.10.2:1812, …</t>
  </si>
  <si>
    <t>WF_EAPCERT</t>
  </si>
  <si>
    <t>802.1X 인증서 파일/내부방식 설정</t>
  </si>
  <si>
    <t>[2026-09-13] WF_EAPCONF만으로 CA 인증서 없이 연결하면 정상 성공(WF_EAPCONF 답변 참조). 이어서 WF_EAPCERT=2 ca.pem으로 CA 인증서를 실제로 스테이징한 뒤 재연결을 시도하면 매번 재현되는 문제 발견: 보드가 RADIUS 서버의 최초 PEAP 방식 제안에 대해 스스로 'EAP-NAK, 동일 방식(PEAP) 재요청'을 반복하는 자기-NAK 루프에 빠지고, FreeRADIUS가 50회 왕복 초과로 세션을 중단시켜 Acc…</t>
  </si>
  <si>
    <t>STA/AP IP 설정 조회 / 스테이션 고정 IP 설정</t>
  </si>
  <si>
    <t>[2026-09-14] 실기 검증: AT*M2M*WF_IPSTATUS=0 192.168.10.50 255.255.255.0 192.168.10.1 -&gt; 고정 IP 즉시 적용 확인(NET_IP:IND, 재조회로 dhcp=0 확인) -&gt; AT*M2M*WF_IPSTATUS=1 -&gt; DHCP로 정상 복귀(192.168.10.3 재할당) 확인.</t>
  </si>
  <si>
    <t>3. Wi-Fi SoftAP</t>
  </si>
  <si>
    <t>WF_APSTART</t>
  </si>
  <si>
    <t>SoftAP 설정+즉시 시작</t>
  </si>
  <si>
    <t>실 SoftAP 기동 및 IPSTATUS/APSTATION 라운드트립 확인. / [2026-09-27 EN 18031-1] Kconfig AT_MODEM_SOFTAP_ALLOW_OPEN(기본 y)을 끄면 auth=0(Open AP) 요청은 reason 0, 비밀번호 없는 WF_APMODE SoftAP 프로필도 기동하지 않음.</t>
  </si>
  <si>
    <t>WF_APSTATION</t>
  </si>
  <si>
    <t>SoftAP 접속 스테이션 목록 조회</t>
  </si>
  <si>
    <t>3. Wi-Fi WPS</t>
  </si>
  <si>
    <t>WPS PBC/PIN 방식 접속</t>
  </si>
  <si>
    <t>[2026-09-09 실기 검증, README Phase 7] 실제 PBC 세션 시작/취소 및 인자 검증 실기 확인.</t>
  </si>
  <si>
    <t>4. TCP/IP 소켓</t>
  </si>
  <si>
    <t>NET_STATUS</t>
  </si>
  <si>
    <t>열려있는 링크(0~3) 상태 일람</t>
  </si>
  <si>
    <t>실기 확인(로컬포트 포함).</t>
  </si>
  <si>
    <t>NET_CONN</t>
  </si>
  <si>
    <t>TCP/UDP/SSL 연결 개설</t>
  </si>
  <si>
    <t>[2026-09-14] 실기 검증(실 인터넷 대상): TCP tcpbin.com:4242(호스트명) 연결+NET_SEND+정상 종료, UDP tcpbin.com:4242(호스트명) 연결 확인, 존재하지 않는 호스트명 요청 시 ERROR 4로 정상 실패(크래시 없음), 리터럴 IP(45.79.112.203)도 회귀 없이 그대로 동작 확인, SSL api.ipify.org:443(호스트명)으로 실제 인증서 검증(esp-x509-crt-bundle) 포함 정상 연결…</t>
  </si>
  <si>
    <t>NET_DISCONN</t>
  </si>
  <si>
    <t>링크 종료(개별/전체)</t>
  </si>
  <si>
    <t>[2026-09-12 재검증] 실기 확인 완료: NET_CONN으로 외부 TCP 피어(45.79.112.203:4242, tcpbin.com 에코 서버)에 연결 후 NET_STATUS로 링크 존재 확인 -&gt; 호스트發 NET_DISCONN 실행 -&gt; NET_STATUS로 링크 소멸 확인. 호스트發 개별 종료 정상 동작.</t>
  </si>
  <si>
    <t>NET_SEND</t>
  </si>
  <si>
    <t>열린 링크로 페이로드 송신</t>
  </si>
  <si>
    <t>이번 세션에서는 이 개발 환경에 ESP-IDF 빌드 툴체인(idf.py/esptool)이 설치·활성화되어 있지 않아(PATH에 idf.py 없음, IDF_PATH 미설정, esptool 모듈 없음) 실제 재플래싱을 통한 하드웨어 재검증은 이번엔 수행하지 못했습니다. 다만 COM7에 USB 직렬 장치가 현재 연결되어 있는 것은 확인했습니다(보드가 물리적으로 연결된 상태로 추정) — ESP-IDF 환경(export.ps1/bat)을 활성화하고 보드가 이 PC와 같…</t>
  </si>
  <si>
    <t>NET_SERVER</t>
  </si>
  <si>
    <t>TCP/UDP/SSL 서버 생성/제거</t>
  </si>
  <si>
    <t>[2026-09-14] 실기 검증(외부 TLS 클라이언트 대상): 자체 서명 인증서(EC prime256v1, cert+key 결합 PEM)를 NET_HTTPDOWNLOAD로 보드에 적재 후 AT*M2M*NET_SERVER=1 ssl 8443 srv.pem으로 리스너 기동. PC의 openssl s_client로 실제 TLS 핸드셰이크 완주 확인, NET_CLI_ACCEPTED:IND 수신, 클라이언트→보드 평문 "hello-from-openssl" 전송 시 …</t>
  </si>
  <si>
    <t>4. TCP/IP 유틸</t>
  </si>
  <si>
    <t>NET_PING</t>
  </si>
  <si>
    <t>ICMP ping</t>
  </si>
  <si>
    <t>[2026-09-26 버그 수정] esp_ping_delete_session()이 플래그만 지우는 비동기 함수라 내부 ping 태스크가 최대 1초 뒤에나 실제로 raw ICMP 소켓을 닫는데, cmd_net_ping()이 그 직후 바로 세마포어까지 지우고 리턴해서 연속 호출 시 이전 ping의 소켓이 겹칠 수 있었음(사용자 지적으로 발견) -- esp_ping_delete_session() 뒤에 1.1초 대기 추가로 수정. 수정 후 연속 ping 8회 + DN…</t>
  </si>
  <si>
    <t>NET_DNS</t>
  </si>
  <si>
    <t>호스트명 → IP 변환</t>
  </si>
  <si>
    <t>실 도메인 조회 확인.</t>
  </si>
  <si>
    <t>일반/투명(패스스루) 모드 전환</t>
  </si>
  <si>
    <t>[2026-09-12 재검증] 실 링크(TCP, tcpbin.com 에코) 연결 후 NET_DTMODE=1로 진입 -&gt; 원시 바이트 송신 시 그대로 에코되어 돌아옴(패스스루 확인) -&gt; 20ms+ 무음 -&gt; "+++" -&gt; 20ms+ 무음 프레이밍으로 정상 탈출, 곧바로 "AT"에 "OK" 응답 확인. 문서 명시 가드타임 이스케이프 최초 실기 검증. 부수 발견(경미, 별도 이슈로 트래킹): NET_DTMODE=1 &lt;link_id&gt;가 해당 link_id가 실제 …</t>
  </si>
  <si>
    <t>NET_SNTP</t>
  </si>
  <si>
    <t>SNTP 시각 조회</t>
  </si>
  <si>
    <t>[2026-09-26 실기 검증] 두 개의 실제 네트워크(홈 AP, 모바일 핫스팟 kangaps25)에서 재현: 수정 전에는 재부팅 직후 첫 명령으로 실행해도 매번 즉시 ERROR 4. 수정 후 두 네트워크 중 정상 연결된 kangaps25에서 *M2M*NET_SNTP:IND 24 Sat Sep 26 0X:XX:XX 2026 -&gt; DONE으로 실제 정확한 시각 동기화 확인(2회 재현). 참고로 이 세션에서 CONFIG_LWIP_SNTP_MAX_SERVERS도 …</t>
  </si>
  <si>
    <t>NET_SNTPCONF</t>
  </si>
  <si>
    <t>SNTP 서버/GMT 오프셋 설정</t>
  </si>
  <si>
    <t>[2026-09-12 재검증] mode=0(서버 URL)/mode=1(오프셋) 설정 후 Query로 즉시 반영 확인(time.windows.com, 9 등). 설정 저장·조회 자체는 정상 동작 -- 실제 동기화(NET_SNTP 실행)는 별도 네트워크 이슈로 미해결(No.33 참조).</t>
  </si>
  <si>
    <t>6.1 DHCP</t>
  </si>
  <si>
    <t>NET_DHCPS</t>
  </si>
  <si>
    <t>SoftAP DHCP 서버 임대범위 설정</t>
  </si>
  <si>
    <t>[2026-09-12 재검증] 기본값(120분/192.168.4.2~.101) 확인 후 flag=1/lease=720분/192.168.4.10~20으로 변경, 재조회로 반영 확인.</t>
  </si>
  <si>
    <t>NET_DHCP</t>
  </si>
  <si>
    <t>DHCP 클라이언트/서버 on/off</t>
  </si>
  <si>
    <t>[2026-09-12 재검증] SoftAP 서버 모드(mode=1) stop-&gt;query(0)-&gt;start-&gt;query(1) 정상 확인. STA client 모드는 기존 확인 유지.</t>
  </si>
  <si>
    <t>6.2 HTTP Client</t>
  </si>
  <si>
    <t>NET_HTTPSET</t>
  </si>
  <si>
    <t>Content-Type/scheme/timeout 설정</t>
  </si>
  <si>
    <t>NET_HTTPHEADER</t>
  </si>
  <si>
    <t>커스텀 헤더 ADD/CLR/DEL(최대 5개)</t>
  </si>
  <si>
    <t>[2026-09-12 재검증] httpbin.org/headers 에코로 DEL/CLR 확인: ADD한 커스텀 헤더가 DEL 후 응답에서 사라짐, 추가 ADD 후 CLR로 전부 제거됨을 확인.</t>
  </si>
  <si>
    <t>NET_HTTPGET</t>
  </si>
  <si>
    <t>HTTP GET 요청</t>
  </si>
  <si>
    <t>HTTP·HTTPS(api.ipify.org 실TLS핸드셰이크) 모두 실기 확인.</t>
  </si>
  <si>
    <t>NET_HTTPPOST</t>
  </si>
  <si>
    <t>HTTP POST 요청(payload 포함)</t>
  </si>
  <si>
    <t>실 JSON 바디+Content-Length 확인.</t>
  </si>
  <si>
    <t>NET_HTTPDOWNLOAD</t>
  </si>
  <si>
    <t>파일 다운로드 후 SPIFFS 저장</t>
  </si>
  <si>
    <t>실 파일 다운로드+서버 access log 대조 확인.</t>
  </si>
  <si>
    <t>NET_HTTPSTOP</t>
  </si>
  <si>
    <t>진행 중인 HTTP 세션 취소</t>
  </si>
  <si>
    <t>[2026-09-13 재검증] 이 프로젝트가 문서 스펙을 넘어 추가한 임베디드 설정 WebUI(cmd_httpd.c, webui/index.html) 전 라우트를 실기로 확인: GET / (WebUI 메인 페이지, gzip, 200 OK) / GET /api/status (실시간 상태 JSON -- 실제 접속 중이던 SSID=netgear, channel=9, rssi=-62, ip=192.168.10.3 등 정확히 일치하는 값 반환 확인) / POST /ap…</t>
  </si>
  <si>
    <t>6.3 HTTP Server</t>
  </si>
  <si>
    <t>NET_HTTPDSTART</t>
  </si>
  <si>
    <t>내장 설정용 웹서버 시작(HTTP/HTTPS)</t>
  </si>
  <si>
    <t>[2026-09-14] 구현: `esp_https_server`를 `components/at_modem/CMakeLists.txt`의 PRIV_REQUIRES에 추가(+ sdkconfig `CONFIG_ESP_HTTPS_SERVER_ENABLE=y`), `cmd_httpd.c`에 `start_server_ssl()`을 추가해 `httpd_ssl_config_t`(servercert/prvtkey에 동일 PEM 버퍼 재사용, port_secure=&lt;port&gt;)로…</t>
  </si>
  <si>
    <t>NET_HTTPDSTOP</t>
  </si>
  <si>
    <t>웹서버 정지</t>
  </si>
  <si>
    <t>[2026-09-12 재검증] START-&gt;(재START 시 에러3 이미실행중)-&gt;STOP(OK)-&gt;(재STOP 시 에러1 서비스없음)-&gt;START 재성공까지 확인 -- 정지 로직이 포트를 정상적으로 해제함을 확인.</t>
  </si>
  <si>
    <t>NET_HTTPDCONF</t>
  </si>
  <si>
    <t>웹서버 로그인 ID/PW 설정</t>
  </si>
  <si>
    <t>Basic-auth 401/200 실기 확인. / [2026-09-27 EN 18031-1] 비밀번호는 salt+PBKDF2-HMAC-SHA256 해시로만 NVS 저장(web_auth.c), Query 응답은 '&lt;id&gt; ********'. Set 에 비밀번호 정책(8~64자, 영문+숫자, id·기본값과 다름) 적용, 위반 시 reason 1(신규). 공장 기본 admin/admin 은 웹 첫 로그인 시 비밀번호 변경만 허용. 웹 로그인 5회 실패 시 60초 잠…</t>
  </si>
  <si>
    <t>6.4 MQTT</t>
  </si>
  <si>
    <t>MQTT_CONF</t>
  </si>
  <si>
    <t>브로커 주소/스킴/클라이언트ID 설정</t>
  </si>
  <si>
    <t>MQTT_ALPN</t>
  </si>
  <si>
    <t>TLS ALPN 프로토콜 목록(AWS IoT 443 멀티플렉싱용)</t>
  </si>
  <si>
    <t>[2026-09-12] 테스트 중 발견: cmd_mqtt.c가 TLS 브로커 인증서를 항상 공개 CA 번들(esp_crt_bundle_attach)로만 검증했고 cert_name을 서버 CA 검증에 전혀 연결하지 않던 버그, 그리고 AT_MAX_PARAMS=8 제한으로 MQTT_CONF의 9번째 인자(cert_name)가 항상 잘려나가던 버그를 발견/수정(둘 다 미커밋, working tree). 수정 후 로컬 private-CA 브로커 대상 실기 검증 완료.</t>
  </si>
  <si>
    <t>MQTT_CONN</t>
  </si>
  <si>
    <t>브로커 접속</t>
  </si>
  <si>
    <t>[2026-09-12] MQTT_ALPN 답변과 동일한 버그 2건(공개 CA 번들 고정, AT_MAX_PARAMS=8) 수정 후 mqtts/mTLS/wss 전부 실기 검증 완료. 상세는 MQTT_ALPN 답변 참조.</t>
  </si>
  <si>
    <t>MQTT_PUB</t>
  </si>
  <si>
    <t>토픽 발행</t>
  </si>
  <si>
    <t>이중따옴표 이스케이프 규칙 포함 실기 확인.</t>
  </si>
  <si>
    <t>MQTT_SUB</t>
  </si>
  <si>
    <t>토픽 구독/해지</t>
  </si>
  <si>
    <t>실기 구독+수신 확인.</t>
  </si>
  <si>
    <t>MQTT_CLEAN</t>
  </si>
  <si>
    <t>MQTT 연결 해제+리소스 반환</t>
  </si>
  <si>
    <t>정상 해제 및 비정상단절 알림 억제 확인.</t>
  </si>
  <si>
    <t>6.5 AWS</t>
  </si>
  <si>
    <t>AWS_PAIR</t>
  </si>
  <si>
    <t>커스텀 프로비저닝 서버 페어링</t>
  </si>
  <si>
    <t>[2026-09-14 결정] 커스텀 프로비저닝 프로토콜을 새로 설계하는 대신 Fleet Provisioning by Claim으로 일원화하기로 결정 -- 코드는 기존 스텁 그대로 유지(제거하지 않음), M2M-AT Command Set.docx v1.3에 "Note (deprecated)" 문구 추가해 AWS_CLAIMCERT/AWS_PROVISION 사용을 권장하도록 갱신.</t>
  </si>
  <si>
    <t>기타(폐기 결정)</t>
  </si>
  <si>
    <t>AWS_CLAIMCERT</t>
  </si>
  <si>
    <t>Claim 인증서/키/CA 파일 등록</t>
  </si>
  <si>
    <t>[2026-09-13 재검증] 실 AWS 계정(ap-southeast-2) 대상 Fleet Provisioning by Claim 전체 라운드트립 완주: claim cert mTLS 접속 -&gt; $aws/certificates/create/json 요청/응답 -&gt; $aws/provisioning-templates/.../provision/json 등록 -&gt; AWS_PROVISION:DONE "esp32-&lt;SerialNumber&gt;". 테스트 중 실기 코드 버그 2…</t>
  </si>
  <si>
    <t>AWS_PROVISION</t>
  </si>
  <si>
    <t>Claim 인증서로 정식 인증서 발급(Fleet Provisioning)</t>
  </si>
  <si>
    <t>[2026-09-13 재검증] AWS_PROVISION:DONE "esp32-&lt;SerialNumber&gt;" 까지 실기 확인. 과정에서 실기 버그 3건 발견/수정: MQTT_EVENT_DATA 프래그먼트 재조립 누락(버퍼 2200-&gt;6144), 그로 인한 태스크 스택 오버플로우(8192-&gt;16384), certificateOwnershipToken 300바이트 버퍼 절단(464자 토큰용으로 600으로 증설). 상세는 AWS_CLAIMCERT 답변 참조.  [202…</t>
  </si>
  <si>
    <t>AWS_CERT</t>
  </si>
  <si>
    <t>AWS IoT 인증서 상태 조회/발급/폐기</t>
  </si>
  <si>
    <t>[2026-09-13 재검증] AWS_PROVISION 완주 후 AWS_CERT=? 조회로 state=1, thingName="esp32-9ccc01c0c8e4", endpoint 정상 저장 확인.</t>
  </si>
  <si>
    <t>AWS_CONN</t>
  </si>
  <si>
    <t>AWS IoT Core 접속(mTLS)</t>
  </si>
  <si>
    <t>[2026-09-13 재검증] 정식 발급된 디바이스 인증서로 AWS_CONN 실기 접속 성공 (esp-x509-crt-bundle이 AWS ATS 루트를 공개 CA로 정상 검증).</t>
  </si>
  <si>
    <t>AWS_DISC</t>
  </si>
  <si>
    <t>AWS IoT Core 접속 해제</t>
  </si>
  <si>
    <t>[2026-09-13 재검증] AWS_DISC 실기 확인 (claim 연결 종료 1회, 디바이스 연결 종료 1회 모두 DONE).</t>
  </si>
  <si>
    <t>AWS_PUB</t>
  </si>
  <si>
    <t>AWS IoT 토픽 발행(멀티라인 payload)</t>
  </si>
  <si>
    <t>[2026-09-13 재검증] esp32test/ping 토픽에 AWS_PUB(QoS1) 실기 확인, AWS_PUB:DONE 수신.</t>
  </si>
  <si>
    <t>AWS_SUB</t>
  </si>
  <si>
    <t>AWS IoT 토픽 구독</t>
  </si>
  <si>
    <t>[2026-09-13 재검증] 동일 토픽 AWS_SUB 후 AWS_PUB로 발행한 메시지가 AWS_MSG:DONE으로 정상 수신됨 (실 AWS IoT Core 라운드트립).</t>
  </si>
  <si>
    <t>6.6 OTA</t>
  </si>
  <si>
    <t>OTA_CHECK</t>
  </si>
  <si>
    <t>서버 펌웨어 버전 확인(부분 다운로드)</t>
  </si>
  <si>
    <t>실 2-바이너리 OTA 사이클로 1.0.0→1.0.1 버전 비교 확인.</t>
  </si>
  <si>
    <t>OTA_UPDATE</t>
  </si>
  <si>
    <t>펌웨어 다운로드+플래시(자동 재부팅 없음)</t>
  </si>
  <si>
    <t>실기 다운로드+플래시+SYS_RST 후 신버전 부팅까지 확인. 미검사 URL 거부(reason 4) 가드도 확인.</t>
  </si>
  <si>
    <t>NET_FILELIST</t>
  </si>
  <si>
    <t>저장된 파일 목록 조회</t>
  </si>
  <si>
    <t>[2026-09-14] 실기 확인: AT*M2M*NET_FILELIST -&gt; ca.pem 1785 정상 목록 표시. 최초 구현 시 static 없이 fs_store_entry_t entries[32]를 at_uart_rx 태스크(스택 4096바이트) 지역변수로 잡아 Guru Meditation(Stack protection fault)으로 보드가 리셋되는 실기 버그를 발견 -- cmd_wifi.c의 WF_EAPCERT 인증서 버퍼와 동일하게 static으로 변…</t>
  </si>
  <si>
    <t>NET_FILEINFO</t>
  </si>
  <si>
    <t>파일 크기/인증서 지문 조회</t>
  </si>
  <si>
    <t>[2026-09-14] 실기 확인: AT*M2M*NET_FILEINFO=ca.pem -&gt; 크기+실제 SHA-256 지문 정상 반환(웹 UI TLS Certificates 화면과 동일 값). 없는 파일 조회 시 ERROR 1, 인자 누락 시 ERROR 2 확인.</t>
  </si>
  <si>
    <t>MQTT_STATUS</t>
  </si>
  <si>
    <t>MQTT 링크 실시간 연결 상태 조회</t>
  </si>
  <si>
    <t>[2026-09-14] 실기 확인: 미설정 시 IND 없이 OK만 반환 -&gt; MQTT_CONF+MQTT_CONN으로 로컬 브로커(192.168.10.2:1883) 연결 후 재조회 시 configured=1 connected=1 정상 표시.</t>
  </si>
  <si>
    <t>3.5 BLE Provisioning</t>
  </si>
  <si>
    <t>BLE_PROV</t>
  </si>
  <si>
    <t>BLE 프로비저닝 창 열기/닫기/조회(폰 앱 → 모듈로 Wi-Fi 자격증명 직접 전달)</t>
  </si>
  <si>
    <t>[2026-09-26 신규, 문서 Rev 1.5~1.7] Espressif wifi_provisioning + protocomm(wifi_prov_scheme_ble, NimBLE, Security1) 위의 얇은 래퍼(cmd_ble_prov.c). IND CONNECTED/CRED_RECEIVED/CRED_FAIL, DONE, ERROR 1(타임아웃) 알림 구현. DONE 시 at_wifi_persist_apmode_sta()로 WF_APMODE=1 자동 설정…</t>
  </si>
  <si>
    <t>BLE_POP</t>
  </si>
  <si>
    <t>BLE 프로비저닝 PoP(proof-of-possession) 조회/설정</t>
  </si>
  <si>
    <t>[2026-09-27 EN 18031-1] 신규(문서 Rev 1.8). 첫 부팅 시 하드웨어 RNG 로 12자(2-9, A-Z 중 I/L/O 제외) 생성·NVS 저장, Query 로 조회(라벨/QR 인쇄용), Set 으로 8~32자 값 교체. reason 1-형식 오류, 2-프로비저닝 창 열림. COM7 실기 확인: 첫 부팅 생성, 재부팅 후 동일 값 유지, 짧은 값 거부(ERROR 1). 폰 앱으로 새 PoP 사용 세션은 미검증.</t>
  </si>
  <si>
    <t>OTH-AT 명령별 구현/시험 결과</t>
  </si>
  <si>
    <t>출처: OTH_ESP32_C3/doc/OTH-AT_Command_Status.xlsx (2026-10-05) + AWS 볼륨은 2026-10-06 OTH Platform 재구현 결과로 교체</t>
  </si>
  <si>
    <t>문서</t>
  </si>
  <si>
    <t>명령 (AT*OTH*)</t>
  </si>
  <si>
    <t>구현 기반</t>
  </si>
  <si>
    <t>Essentials</t>
  </si>
  <si>
    <t>2</t>
  </si>
  <si>
    <t>AT / ATE</t>
  </si>
  <si>
    <t>cmd_special.c (공용)</t>
  </si>
  <si>
    <t>SWVER</t>
  </si>
  <si>
    <t>"01.00" 형식</t>
  </si>
  <si>
    <t>MAC</t>
  </si>
  <si>
    <t>RESET</t>
  </si>
  <si>
    <t>esp_restart</t>
  </si>
  <si>
    <t>mode 0/1 모두 플래시 부팅</t>
  </si>
  <si>
    <t>FACRESET</t>
  </si>
  <si>
    <t>SYS_FACTORY NV 삭제</t>
  </si>
  <si>
    <t>mode 1: 다음 부팅 시 공장 SoftAP(OTH_xxxxxx, open, ch1). 재부팅하지 않음 / 2026-10-06: AWS 인증서·RootCA 파일도 삭제</t>
  </si>
  <si>
    <t>EVTDEL</t>
  </si>
  <si>
    <t>at_event</t>
  </si>
  <si>
    <t>NV 저장, RECV 계열 데이터 알림도 포함</t>
  </si>
  <si>
    <t>FWUPGRADE</t>
  </si>
  <si>
    <t>신규 (cmd_oth_fwup.c)</t>
  </si>
  <si>
    <t>XMODEM-CRC 128/1K, bank 1=ota_0, 2=ota_1, 실행 중 bank 거부. 실패 시 FWUPGRADE:ERROR &lt;code&gt; (문서에 없는 줄 추가)</t>
  </si>
  <si>
    <t>HWPS</t>
  </si>
  <si>
    <t>0 자동(modem sleep), 1 off, 2 max. HWPSIND는 미보고(드라이버 이벤트 없음)</t>
  </si>
  <si>
    <t>ANTVER / SETANT</t>
  </si>
  <si>
    <t>외부 안테나(1)는 보드에 없어 ERROR 5</t>
  </si>
  <si>
    <t>TXGAIN</t>
  </si>
  <si>
    <t>esp_wifi_set_max_tx_power</t>
  </si>
  <si>
    <t>0.25 dB 단위 감쇠, 무선 시작 시 재적용</t>
  </si>
  <si>
    <t>COUNTRY</t>
  </si>
  <si>
    <t>드라이버가 아는 2글자 코드 전부. 3글자(USE 등) 불가</t>
  </si>
  <si>
    <t>MIB / SETMIB</t>
  </si>
  <si>
    <t>신규 (cmd_oth_svc.c)</t>
  </si>
  <si>
    <t>비밀번호(7,11) 마스킹, WEP(6,8)·RTS/CTS/Frag(64-66)·103 null. SETMIB 102/105/106 저장만</t>
  </si>
  <si>
    <t>바이너리 UART 프로토콜 미구현 (M2M과 동일)</t>
  </si>
  <si>
    <t>3.1</t>
  </si>
  <si>
    <t>MODE</t>
  </si>
  <si>
    <t>esp_wifi_set_protocol</t>
  </si>
  <si>
    <t>1(B+G) 2(B+G+N) 3(B)만. 0/4/5-7 ERROR 5</t>
  </si>
  <si>
    <t>WF_SCAN 로직</t>
  </si>
  <si>
    <t>SCANIND/SCANRESULT, 공백 SSID 따옴표, 숨김 NULL, WPA3는 WPA2 코드로</t>
  </si>
  <si>
    <t>CRYPTO / PSK / ASSOCIATE</t>
  </si>
  <si>
    <t>WEP(key_mgmt 1) 거부</t>
  </si>
  <si>
    <t>WEP</t>
  </si>
  <si>
    <t>보안상 거부(M2M과 동일) - 추후 검토</t>
  </si>
  <si>
    <t>DISASSOCIATE</t>
  </si>
  <si>
    <t>SCONN</t>
  </si>
  <si>
    <t>선택 필드는 모양으로 구분(MAC=bssid, 1-4=WEP idx)</t>
  </si>
  <si>
    <t>AUCONMODE</t>
  </si>
  <si>
    <t>mode 1: 부팅·링크 끊김 시 5초 간격 재접속. type 0-3은 저장·보고만</t>
  </si>
  <si>
    <t>SMODE</t>
  </si>
  <si>
    <t>WF_APMODE 프로필</t>
  </si>
  <si>
    <t>응답 이름은 문서대로 *OTH*MODE</t>
  </si>
  <si>
    <t>EAPSET / EAPCERT (Optional)</t>
  </si>
  <si>
    <t>WF_EAPCONF/EAPCERT</t>
  </si>
  <si>
    <t>leap 미지원(ESP-IDF). 802.1X AP 실접속은 이번에 미시험</t>
  </si>
  <si>
    <t>NWSTATUS</t>
  </si>
  <si>
    <t>신규</t>
  </si>
  <si>
    <t>미접속·SoftAP 없음이면 ERROR 4</t>
  </si>
  <si>
    <t>3.2</t>
  </si>
  <si>
    <t>APSTART / APSTOP</t>
  </si>
  <si>
    <t>WEP 불가, open은 Kconfig 허용 시만</t>
  </si>
  <si>
    <t>APNSET / APLEASEIP</t>
  </si>
  <si>
    <t>기본 192.168.0.1/24, 10~254. DHCP 서버는 최대 100개 주소만 배정</t>
  </si>
  <si>
    <t>DHCPDSTART / DHCPDSTOP</t>
  </si>
  <si>
    <t>3.3</t>
  </si>
  <si>
    <t>WPS_PBC / WPS_PIN / WPS_CANCEL</t>
  </si>
  <si>
    <t>PBC의 bssid 지정 불가(ERROR 5). 실제 WPS AP 페어링은 미시험</t>
  </si>
  <si>
    <t>ADSTART / ADSTOP (Optional)</t>
  </si>
  <si>
    <t>ESP32-C3는 IBSS 미지원</t>
  </si>
  <si>
    <t>WDS</t>
  </si>
  <si>
    <t>ESP-IDF 미지원</t>
  </si>
  <si>
    <t>P2P_* (Optional)</t>
  </si>
  <si>
    <t>ESP32-C3 Wi-Fi Direct 미지원</t>
  </si>
  <si>
    <t>4</t>
  </si>
  <si>
    <t>IPCONFIG</t>
  </si>
  <si>
    <t>SOCKET / CLOSE</t>
  </si>
  <si>
    <t>oth_sock.c</t>
  </si>
  <si>
    <t>TCP 0-2, UDP 3-5, SSL 6</t>
  </si>
  <si>
    <t>CONNECT</t>
  </si>
  <si>
    <t>CONNECTED / TIMEOUT(9초) / REJECTED</t>
  </si>
  <si>
    <t>BIND / LISTEN / LSTATUS / DISCONNECT</t>
  </si>
  <si>
    <t>서버 소켓당 클라이언트 4개</t>
  </si>
  <si>
    <t>SEND / SENDTO</t>
  </si>
  <si>
    <t>바이트 스터핑, 최대 1460바이트</t>
  </si>
  <si>
    <t>TCPKEEP</t>
  </si>
  <si>
    <t>lwip keepalive</t>
  </si>
  <si>
    <t>keep_time 단위를 초로 정함(문서에 단위 없음)</t>
  </si>
  <si>
    <t>NW_CONN</t>
  </si>
  <si>
    <t>PING</t>
  </si>
  <si>
    <t>NET_PING 러너 공유</t>
  </si>
  <si>
    <t>PINGREPLY per reply</t>
  </si>
  <si>
    <t>DNSQUERY</t>
  </si>
  <si>
    <t>lwip_getaddrinfo</t>
  </si>
  <si>
    <t>DATA_SOCKET / DATA_INTERVAL</t>
  </si>
  <si>
    <t>oth_sock.c + at_uart</t>
  </si>
  <si>
    <t>"+++" 뒤 500ms 무음. TCP 클라이언트로 실기 검증</t>
  </si>
  <si>
    <t>5</t>
  </si>
  <si>
    <t>SSL_CONNECT / SSL_SEND / SSL_CLOSE</t>
  </si>
  <si>
    <t>서버 인증서 검증: 저장된 ca.pem, 없으면 공개 CA 번들</t>
  </si>
  <si>
    <t>SSL_SVR_START / SEND / CLOSE</t>
  </si>
  <si>
    <t>esp_tls server</t>
  </si>
  <si>
    <t>인증서는 저장된 server.pem(문서에 지정 방법 없음). 인증서 없는 경우 ERROR만 확인</t>
  </si>
  <si>
    <t>6.1</t>
  </si>
  <si>
    <t>HTTPGET / HTTPPOST / HTTPSET / HTTPHEADER / HTTPSTOP</t>
  </si>
  <si>
    <t>NET_HTTP* 워커</t>
  </si>
  <si>
    <t>HTTPBODY 스트리밍(크기 제한 없음), HTTPCLOSE 코드 2/4/6/7</t>
  </si>
  <si>
    <t>HTTP_DOWNLOAD</t>
  </si>
  <si>
    <t>HTTP_DOWNLOAD=OK|FAIL &lt;file&gt;, 개인키 파일은 암호화 NVS로</t>
  </si>
  <si>
    <t>6.2</t>
  </si>
  <si>
    <t>HTTPD_START / HTTPD_STOP</t>
  </si>
  <si>
    <t>NET_HTTPDSTART/STOP</t>
  </si>
  <si>
    <t>HTTP 80, HTTPS-only 빌드는 443 + server.pem</t>
  </si>
  <si>
    <t>HTTPD_IDPW</t>
  </si>
  <si>
    <t>조회 시 비밀번호 ******** (문서는 평문) - 추후 검토</t>
  </si>
  <si>
    <t>6.3</t>
  </si>
  <si>
    <t>SNTP / SNTP_GET / SNTP_SET</t>
  </si>
  <si>
    <t>NET_SNTP/SNTPCONF</t>
  </si>
  <si>
    <t>FTPC_SET / FTPC_GET</t>
  </si>
  <si>
    <t>FTP 클라이언트 없음. 비밀번호 조회 마스킹 - 추후 검토</t>
  </si>
  <si>
    <t>DDNS_GETIP / DDNS_UPDATE</t>
  </si>
  <si>
    <t>범위 외 (M2M과 동일)</t>
  </si>
  <si>
    <t>6.4</t>
  </si>
  <si>
    <t>UPNP_* / LPD_*</t>
  </si>
  <si>
    <t>6.5</t>
  </si>
  <si>
    <t>OTA_VERCHECK / OTA_REQUEST</t>
  </si>
  <si>
    <t>OTA_CHECK/OTA_UPDATE</t>
  </si>
  <si>
    <t>URL은 이미지 자체, http(s)만. OTA_VERSION은 MM*100+NN. 실제 업데이트 성공 경로는 OTH로 미시험(M2M에서 검증)</t>
  </si>
  <si>
    <t>MQTT_GET / MQTT_SET</t>
  </si>
  <si>
    <t>cmd_oth_mqtt.c</t>
  </si>
  <si>
    <t>0-14 NV, 106/107 RAM. 비밀번호(5) 마스킹</t>
  </si>
  <si>
    <t>MQTT_CERT</t>
  </si>
  <si>
    <t>RAM 보관(Wi-Fi 리셋 후 재선택 - 문서대로)</t>
  </si>
  <si>
    <t>MQTT_CONNECT / MQTT_PUB / MQTT_SUB</t>
  </si>
  <si>
    <t>persistence 0/1/2, 자동 구독. TLS 옵션 4만(1,2 거부)</t>
  </si>
  <si>
    <t>공용</t>
  </si>
  <si>
    <t>COAP</t>
  </si>
  <si>
    <t>COAP_GET / COAP_SET / COAP_MSG</t>
  </si>
  <si>
    <t>AWS_GET</t>
  </si>
  <si>
    <t>cmd_oth_aws.c (OTH Platform)</t>
  </si>
  <si>
    <t>0 엔드포인트, 1 포트, 2 클라이언트ID(MAC 또는 MAC_토큰), 3 인증서버, 4/5 RootCA URL, 6 지역, 7 토큰, 10 MCU 버전, 11 MCU 체크섬. 미설정 null</t>
  </si>
  <si>
    <t>AWS_SET (추가)</t>
  </si>
  <si>
    <t>cmd_oth_aws.c</t>
  </si>
  <si>
    <t>개발용. 0/1/3-7 기록, null=삭제. 인증서버/토큰 변경 시 저장 인증서 폐기, RootCA URL 변경 시 RootCA 폐기</t>
  </si>
  <si>
    <t>AWS_SEND</t>
  </si>
  <si>
    <t>header/values 봉투, apiGroup 자동(A1x→001…A14x→004, A5xx→005). A100/A102→Conn, 그 외→Event. A100은 연결 절차 재시작. 미연결 SEND ERROR 2</t>
  </si>
  <si>
    <t>MCU_READY (추가)</t>
  </si>
  <si>
    <t>AWS_GET 10, A100/A500 V02, 페어링 장치정보에 사용</t>
  </si>
  <si>
    <t>3</t>
  </si>
  <si>
    <t>AWS_IND</t>
  </si>
  <si>
    <t>CONFIG/AUTHENTICATE/CERTIFICATE/PRIVATE_KEY/ROOTCA/CONNECT OK 0, DISCONNECT ERROR 2, CERTIFICATE ERROR 112, SEND OK 확인. 실패 시 60초 재시도</t>
  </si>
  <si>
    <t>AWS_RECV</t>
  </si>
  <si>
    <t>Control 토픽 수신 → attributes(없으면 values 평탄화). deviceId 불일치 폐기. 모의 클라우드(broker.emqx.io)로 확인, 실서버 미시험</t>
  </si>
  <si>
    <t>MOTA_START / READY / DATA / DATA_END (추가)</t>
  </si>
  <si>
    <t>MCU 이미지를 비활성 OTA 슬롯에 저장 후 256바이트 블록 중계(바이트 스터핑, CRC32). 600바이트 이미지 CRC PC 계산값과 일치</t>
  </si>
  <si>
    <t>페어링 서버 (TCP 47000)</t>
  </si>
  <si>
    <t>oth_pairing.c</t>
  </si>
  <si>
    <t>GEN2 프레임 DP0100-0400, AES-128 세션, SoftAP 경유만 허용. PC 업링크가 Wi-Fi 하나뿐이라 SoftAP 접속 시험 불가 - 앱/별도 단말 필요</t>
  </si>
  <si>
    <t>A101 등록 해지 처리</t>
  </si>
  <si>
    <t>AWS_RECV 전달 + A102 발행 + NV 전체 삭제 + 재부팅. 보드의 AP 프로필까지 지워져 시험 보류</t>
  </si>
  <si>
    <t>OTH Platform 시험 기록 (2026-10-06, COM7 보드)</t>
  </si>
  <si>
    <t>환경: ESP32-C3 보드(COM7), AP kangaps25, 모의 인증서버(PC 10.128.82.113:8080), MQTT broker.emqx.io(엔드포인트 대용), PC paho 클라이언트(클라우드 역할). 토픽 루트 OTHERS, MIB18=C545, MIB19=Air01</t>
  </si>
  <si>
    <t>ID</t>
  </si>
  <si>
    <t>시험 항목</t>
  </si>
  <si>
    <t>방법</t>
  </si>
  <si>
    <t>기대 결과</t>
  </si>
  <si>
    <t>실제 결과</t>
  </si>
  <si>
    <t>P-01</t>
  </si>
  <si>
    <t>인증 단계</t>
  </si>
  <si>
    <t>모의 인증서버(PC LAN, http)</t>
  </si>
  <si>
    <t>token 발급 → 클라이언트ID MAC_토큰, 인증서·키 발급/저장</t>
  </si>
  <si>
    <t>AUTHENTICATE/CERTIFICATE/PRIVATE_KEY OK 0, AWS_GET 2 = 9CCC01C0C8E4_T0K3N7f3a</t>
  </si>
  <si>
    <t>P-02</t>
  </si>
  <si>
    <t>인증서 오류</t>
  </si>
  <si>
    <t>공개 서비스(httpbin)로 인증서 없는 응답</t>
  </si>
  <si>
    <t>CERTIFICATE ERROR 112</t>
  </si>
  <si>
    <t>P-03</t>
  </si>
  <si>
    <t>MQTT 접속</t>
  </si>
  <si>
    <t>broker.emqx.io:8883 (TLS, 공개 CA 번들)</t>
  </si>
  <si>
    <t>ROOTCA OK, CONNECT OK, Control 구독, A100 발행</t>
  </si>
  <si>
    <t>A100 수신(V01=100, versionChange false)</t>
  </si>
  <si>
    <t>P-04</t>
  </si>
  <si>
    <t>저장 인증서 재사용</t>
  </si>
  <si>
    <t>인증서버 정지 후 재부팅/재접속</t>
  </si>
  <si>
    <t>서버 없이 접속</t>
  </si>
  <si>
    <t>AUTHENTICATE~CONNECT OK 0</t>
  </si>
  <si>
    <t>P-05</t>
  </si>
  <si>
    <t>송신 봉투 / apiGroup</t>
  </si>
  <si>
    <t>AWS_SEND=A110, A130</t>
  </si>
  <si>
    <t>Event 토픽, apiGroup 001/003</t>
  </si>
  <si>
    <t>일치, AWS_IND:SEND OK</t>
  </si>
  <si>
    <t>P-06</t>
  </si>
  <si>
    <t>수신 attributes</t>
  </si>
  <si>
    <t>클라우드 A111 {attributes}</t>
  </si>
  <si>
    <t>AWS_RECV:A111 23 {...}</t>
  </si>
  <si>
    <t>AWS_RECV:A111 23 {"A03":"02","A04":"03"}</t>
  </si>
  <si>
    <t>P-07</t>
  </si>
  <si>
    <t>수신 평탄화</t>
  </si>
  <si>
    <t>클라우드 A112 (attributes 없음)</t>
  </si>
  <si>
    <t>values 필드를 JSON으로</t>
  </si>
  <si>
    <t>AWS_RECV:A112 17 {"reqType":"all"}</t>
  </si>
  <si>
    <t>P-08</t>
  </si>
  <si>
    <t>타 장치 메시지</t>
  </si>
  <si>
    <t>deviceId 다른 A111</t>
  </si>
  <si>
    <t>폐기</t>
  </si>
  <si>
    <t>호스트 출력 없음</t>
  </si>
  <si>
    <t>P-09</t>
  </si>
  <si>
    <t>버전 요청</t>
  </si>
  <si>
    <t>클라우드 A502</t>
  </si>
  <si>
    <t>모듈이 A500 자동 응답, 호스트 미전달</t>
  </si>
  <si>
    <t>Event A500 (apiGroup 005, V01/V02)</t>
  </si>
  <si>
    <t>P-10</t>
  </si>
  <si>
    <t>모듈 FOTA 실패</t>
  </si>
  <si>
    <t>A511 잘못된 URL / 잘못된 SHA-256</t>
  </si>
  <si>
    <t>A510 102→201→900</t>
  </si>
  <si>
    <t>두 경우 모두 900 errCd 9, 설치 안 함</t>
  </si>
  <si>
    <t>P-11</t>
  </si>
  <si>
    <t>모듈 FOTA 성공</t>
  </si>
  <si>
    <t>A511 AES-256-CBC 암호화 이미지 + 올바른 SHA-256</t>
  </si>
  <si>
    <t>A510 102→201→202→301, 재부팅, A100 versionChangeW true</t>
  </si>
  <si>
    <t>ota_1에서 부팅, versionChangeW "true"</t>
  </si>
  <si>
    <t>P-12</t>
  </si>
  <si>
    <t>MCU FOTA</t>
  </si>
  <si>
    <t>A521 (600바이트 이미지)</t>
  </si>
  <si>
    <t>A520 102→301, MOTA_COUNT=3</t>
  </si>
  <si>
    <t>MOTA_COUNT=3</t>
  </si>
  <si>
    <t>P-13</t>
  </si>
  <si>
    <t>MOTA 중계</t>
  </si>
  <si>
    <t>MOTA_READY/DATA ×3/DATA_END=0</t>
  </si>
  <si>
    <t>256/256/88 블록, MOTA_END CRC 일치, 다음 A100 versionChangeM true</t>
  </si>
  <si>
    <t>CRC 2821598958 = PC 계산값, versionChangeM "true", AWS_GET 11 = CRC</t>
  </si>
  <si>
    <t>P-14</t>
  </si>
  <si>
    <t>인증서 갱신</t>
  </si>
  <si>
    <t>클라우드 A001</t>
  </si>
  <si>
    <t>AWS_RECV + /register/cert/renew 요청 + 재접속</t>
  </si>
  <si>
    <t>갱신 인증서로 재접속, A100 재발행</t>
  </si>
  <si>
    <t>P-15</t>
  </si>
  <si>
    <t>링크 끊김</t>
  </si>
  <si>
    <t>DISASSOCIATE → SMODE=99</t>
  </si>
  <si>
    <t>DISCONNECT ERROR 2 → 재접속 시 CONNECT OK</t>
  </si>
  <si>
    <t>일치</t>
  </si>
  <si>
    <t>P-16</t>
  </si>
  <si>
    <t>LWT</t>
  </si>
  <si>
    <t>비정상 끊김 후 재접속 / 재부팅</t>
  </si>
  <si>
    <t>브로커가 Lwt 토픽에 A102 발행</t>
  </si>
  <si>
    <t>Lwt A102 수신(2회)</t>
  </si>
  <si>
    <t>P-17</t>
  </si>
  <si>
    <t>부팅 자동 접속</t>
  </si>
  <si>
    <t>RESET=1</t>
  </si>
  <si>
    <t>IP 획득 후 자동 파이프라인</t>
  </si>
  <si>
    <t>CONNECT OK 0 (1회는 20초 초과로 ERROR 201 후 OK - 재현 안 됨)</t>
  </si>
  <si>
    <t>P-18</t>
  </si>
  <si>
    <t>설정 명령</t>
  </si>
  <si>
    <t>AWS_GET/SET(null), MCU_READY, SETMIB 18/19</t>
  </si>
  <si>
    <t>값 저장·조회, 잘못된 값 ERROR</t>
  </si>
  <si>
    <t>P-19</t>
  </si>
  <si>
    <t>앱 페어링</t>
  </si>
  <si>
    <t>TCP 47000 DP0100-0400</t>
  </si>
  <si>
    <t>미시험 (PC 업링크 Wi-Fi 1개)</t>
  </si>
  <si>
    <t>P-20</t>
  </si>
  <si>
    <t>A101 등록 해지</t>
  </si>
  <si>
    <t>클라우드 A101</t>
  </si>
  <si>
    <t>미시험 (AP 프로필 삭제됨)</t>
  </si>
  <si>
    <t>P-21</t>
  </si>
  <si>
    <t>실서버</t>
  </si>
  <si>
    <t>실제 인증서버 / AWS IoT 엔드포인트</t>
  </si>
  <si>
    <t>미검증 · 추후 검토 항목</t>
  </si>
  <si>
    <t>대상</t>
  </si>
  <si>
    <t>항목</t>
  </si>
  <si>
    <t>필요 사항 / 비고</t>
  </si>
  <si>
    <t>M2M</t>
  </si>
  <si>
    <t>문서 본문 공백 - 사용자 별도 검토 중</t>
  </si>
  <si>
    <t>파괴적 동작이라 실기 보류</t>
  </si>
  <si>
    <t>폰 앱 완주 로그 미정리, PoP placeholder 교체 필요</t>
  </si>
  <si>
    <t>폐기 결정(Fleet Provisioning으로 일원화), 스텁 유지</t>
  </si>
  <si>
    <t>OTH</t>
  </si>
  <si>
    <t>앱 또는 별도 Wi-Fi 단말 필요</t>
  </si>
  <si>
    <t>시험 시 보드 AP 프로필 재입력 필요</t>
  </si>
  <si>
    <t>실 인증서버 / AWS IoT 엔드포인트</t>
  </si>
  <si>
    <t>실서버 정보 필요 (토픽 루트 Kconfig 값 포함)</t>
  </si>
  <si>
    <t>SSL_SVR_*</t>
  </si>
  <si>
    <t>server.pem 적재 후 실 TLS 클라이언트 접속 필요</t>
  </si>
  <si>
    <t>EAPSET/EAPCERT, WPS</t>
  </si>
  <si>
    <t>실 802.1X AP / WPS AP 필요</t>
  </si>
  <si>
    <t>UARTPROTO, DDNS/UPnP/LPD, WEP, IBSS/WDS/P2P</t>
  </si>
  <si>
    <t>범위 외 또는 하드웨어/보안상 미지원</t>
  </si>
  <si>
    <t>COAP 볼륨</t>
  </si>
  <si>
    <t>공통 보안</t>
  </si>
  <si>
    <t>페어링 AES 키</t>
  </si>
  <si>
    <t>MAC + 평문 4바이트로 키 생성 → 개방 SoftAP 도청 시 홈 AP 비밀번호 노출 가능 (프로토콜 고유)</t>
  </si>
  <si>
    <t>평문 FOTA URL</t>
  </si>
  <si>
    <t>해시 없는 평문 이미지 허용 시 TLS·이미지ID 검사에만 의존</t>
  </si>
  <si>
    <t>문서 평문 표시 항목</t>
  </si>
  <si>
    <t>HTTPD_IDPW, FTPC_GET 1, MIB 7/11, MQTT_GET 5 마스킹 유지 - 추후 검토</t>
  </si>
  <si>
    <t>등록</t>
  </si>
  <si>
    <t>명령체계 코드 OT</t>
  </si>
  <si>
    <t>M2M_Code Register.xlsx 명령체계코드 시트 등록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</si>
</sst>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%;\-0%;\-"/>
  </numFmts>
  <fonts count="10" x14ac:knownFonts="1">
    <font>
      <sz val="11"/>
      <color theme="1"/>
      <name val="맑은 고딕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b/>
      <sz val="11"/>
      <name val="Arial"/>
    </font>
    <font>
      <i/>
      <sz val="9"/>
      <color rgb="FF595959"/>
      <name val="Arial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4B084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0" borderId="1" xfId="0" applyFont="1" applyBorder="1"/>
    <xf numFmtId="176" fontId="6" fillId="0" borderId="1" xfId="0" applyNumberFormat="1" applyFont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6" fillId="7" borderId="1" xfId="0" applyFont="1" applyFill="1" applyBorder="1"/>
    <xf numFmtId="0" fontId="6" fillId="8" borderId="1" xfId="0" applyFont="1" applyFill="1" applyBorder="1"/>
    <xf numFmtId="0" fontId="7" fillId="9" borderId="1" xfId="0" applyFont="1" applyFill="1" applyBorder="1"/>
    <xf numFmtId="176" fontId="7" fillId="9" borderId="1" xfId="0" applyNumberFormat="1" applyFont="1" applyFill="1" applyBorder="1"/>
    <xf numFmtId="0" fontId="8" fillId="0" borderId="0" xfId="0" applyFont="1"/>
    <xf numFmtId="0" fontId="3" fillId="2" borderId="1" xfId="0" applyFont="1" applyFill="1" applyBorder="1"/>
    <xf numFmtId="0" fontId="7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표준" xfId="0" builtinId="0"/>
  </cellStyles>
  <dxfs count="28">
    <dxf>
      <fill>
        <patternFill patternType="solid">
          <fgColor rgb="FFDDEBF7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4B084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90" workbookViewId="0"/>
  </sheetViews>
  <sheetFormatPr defaultRowHeight="16.5" x14ac:dyDescent="0.3"/>
  <cols>
    <col min="1" max="1" width="20" customWidth="1"/>
    <col min="2" max="2" width="14" customWidth="1"/>
    <col min="3" max="3" width="12" customWidth="1"/>
    <col min="4" max="4" width="14" customWidth="1"/>
    <col min="5" max="5" width="12" customWidth="1"/>
    <col min="6" max="8" width="14" customWidth="1"/>
  </cols>
  <sheetData>
    <row r="1" spans="1:5" ht="18.75" x14ac:dyDescent="0.3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</row>
    <row r="5" spans="1:5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3">
      <c r="A6" s="5" t="s">
        <v>8</v>
      </c>
      <c r="B6" s="6">
        <f>COUNTIF('M2M 명령 결과'!$E$5:$E$70,A6)</f>
        <v>61</v>
      </c>
      <c r="C6" s="7">
        <f t="shared" ref="C6:C11" si="0">IF($B$12=0,0,B6/$B$12)</f>
        <v>0.9242424242424242</v>
      </c>
      <c r="D6" s="6">
        <f>COUNTIF('OTH 명령 결과'!$D$5:$D$69,A6)</f>
        <v>54</v>
      </c>
      <c r="E6" s="7">
        <f t="shared" ref="E6:E11" si="1">IF($D$12=0,0,D6/$D$12)</f>
        <v>0.83076923076923082</v>
      </c>
    </row>
    <row r="7" spans="1:5" x14ac:dyDescent="0.3">
      <c r="A7" s="8" t="s">
        <v>9</v>
      </c>
      <c r="B7" s="6">
        <f>COUNTIF('M2M 명령 결과'!$E$5:$E$70,A7)</f>
        <v>0</v>
      </c>
      <c r="C7" s="7">
        <f t="shared" si="0"/>
        <v>0</v>
      </c>
      <c r="D7" s="6">
        <f>COUNTIF('OTH 명령 결과'!$D$5:$D$69,A7)</f>
        <v>1</v>
      </c>
      <c r="E7" s="7">
        <f t="shared" si="1"/>
        <v>1.5384615384615385E-2</v>
      </c>
    </row>
    <row r="8" spans="1:5" x14ac:dyDescent="0.3">
      <c r="A8" s="9" t="s">
        <v>10</v>
      </c>
      <c r="B8" s="6">
        <f>COUNTIF('M2M 명령 결과'!$E$5:$E$70,A8)</f>
        <v>2</v>
      </c>
      <c r="C8" s="7">
        <f t="shared" si="0"/>
        <v>3.0303030303030304E-2</v>
      </c>
      <c r="D8" s="6">
        <f>COUNTIF('OTH 명령 결과'!$D$5:$D$69,A8)</f>
        <v>2</v>
      </c>
      <c r="E8" s="7">
        <f t="shared" si="1"/>
        <v>3.0769230769230771E-2</v>
      </c>
    </row>
    <row r="9" spans="1:5" x14ac:dyDescent="0.3">
      <c r="A9" s="10" t="s">
        <v>11</v>
      </c>
      <c r="B9" s="6">
        <f>COUNTIF('M2M 명령 결과'!$E$5:$E$70,A9)</f>
        <v>1</v>
      </c>
      <c r="C9" s="7">
        <f t="shared" si="0"/>
        <v>1.5151515151515152E-2</v>
      </c>
      <c r="D9" s="6">
        <f>COUNTIF('OTH 명령 결과'!$D$5:$D$69,A9)</f>
        <v>1</v>
      </c>
      <c r="E9" s="7">
        <f t="shared" si="1"/>
        <v>1.5384615384615385E-2</v>
      </c>
    </row>
    <row r="10" spans="1:5" x14ac:dyDescent="0.3">
      <c r="A10" s="11" t="s">
        <v>12</v>
      </c>
      <c r="B10" s="6">
        <f>COUNTIF('M2M 명령 결과'!$E$5:$E$70,A10)</f>
        <v>0</v>
      </c>
      <c r="C10" s="7">
        <f t="shared" si="0"/>
        <v>0</v>
      </c>
      <c r="D10" s="6">
        <f>COUNTIF('OTH 명령 결과'!$D$5:$D$69,A10)</f>
        <v>7</v>
      </c>
      <c r="E10" s="7">
        <f t="shared" si="1"/>
        <v>0.1076923076923077</v>
      </c>
    </row>
    <row r="11" spans="1:5" x14ac:dyDescent="0.3">
      <c r="A11" s="12" t="s">
        <v>13</v>
      </c>
      <c r="B11" s="6">
        <f>COUNTIF('M2M 명령 결과'!$E$5:$E$70,A11)</f>
        <v>2</v>
      </c>
      <c r="C11" s="7">
        <f t="shared" si="0"/>
        <v>3.0303030303030304E-2</v>
      </c>
      <c r="D11" s="6">
        <f>COUNTIF('OTH 명령 결과'!$D$5:$D$69,A11)</f>
        <v>0</v>
      </c>
      <c r="E11" s="7">
        <f t="shared" si="1"/>
        <v>0</v>
      </c>
    </row>
    <row r="12" spans="1:5" x14ac:dyDescent="0.3">
      <c r="A12" s="13" t="s">
        <v>14</v>
      </c>
      <c r="B12" s="13">
        <f>SUM(B6:B11)</f>
        <v>66</v>
      </c>
      <c r="C12" s="14">
        <f>SUM(C6:C11)</f>
        <v>0.99999999999999989</v>
      </c>
      <c r="D12" s="13">
        <f>SUM(D6:D11)</f>
        <v>65</v>
      </c>
      <c r="E12" s="14">
        <f>SUM(E6:E11)</f>
        <v>1.0000000000000002</v>
      </c>
    </row>
    <row r="13" spans="1:5" x14ac:dyDescent="0.3">
      <c r="A13" s="15" t="s">
        <v>15</v>
      </c>
    </row>
    <row r="15" spans="1:5" x14ac:dyDescent="0.3">
      <c r="A15" s="3" t="s">
        <v>16</v>
      </c>
    </row>
    <row r="16" spans="1:5" x14ac:dyDescent="0.3">
      <c r="A16" s="16" t="s">
        <v>17</v>
      </c>
      <c r="B16" s="16" t="s">
        <v>18</v>
      </c>
    </row>
    <row r="17" spans="1:8" x14ac:dyDescent="0.3">
      <c r="A17" s="6" t="s">
        <v>19</v>
      </c>
      <c r="B17" s="6">
        <f>COUNTIF('OTH Platform 시험'!$F$5:$F$25,A17)</f>
        <v>17</v>
      </c>
    </row>
    <row r="18" spans="1:8" x14ac:dyDescent="0.3">
      <c r="A18" s="6" t="s">
        <v>20</v>
      </c>
      <c r="B18" s="6">
        <f>COUNTIF('OTH Platform 시험'!$F$5:$F$25,A18)</f>
        <v>1</v>
      </c>
    </row>
    <row r="19" spans="1:8" x14ac:dyDescent="0.3">
      <c r="A19" s="6" t="s">
        <v>21</v>
      </c>
      <c r="B19" s="6">
        <f>COUNTIF('OTH Platform 시험'!$F$5:$F$25,A19)</f>
        <v>3</v>
      </c>
    </row>
    <row r="20" spans="1:8" x14ac:dyDescent="0.3">
      <c r="A20" s="17" t="s">
        <v>14</v>
      </c>
      <c r="B20" s="17">
        <f>SUM(B17:B19)</f>
        <v>21</v>
      </c>
    </row>
    <row r="22" spans="1:8" x14ac:dyDescent="0.3">
      <c r="A22" s="3" t="s">
        <v>22</v>
      </c>
    </row>
    <row r="23" spans="1:8" ht="30" customHeight="1" x14ac:dyDescent="0.3">
      <c r="A23" s="20" t="s">
        <v>23</v>
      </c>
      <c r="B23" s="21"/>
      <c r="C23" s="21"/>
      <c r="D23" s="21"/>
      <c r="E23" s="21"/>
      <c r="F23" s="21"/>
      <c r="G23" s="21"/>
      <c r="H23" s="21"/>
    </row>
    <row r="24" spans="1:8" ht="30" customHeight="1" x14ac:dyDescent="0.3">
      <c r="A24" s="20" t="s">
        <v>24</v>
      </c>
      <c r="B24" s="21"/>
      <c r="C24" s="21"/>
      <c r="D24" s="21"/>
      <c r="E24" s="21"/>
      <c r="F24" s="21"/>
      <c r="G24" s="21"/>
      <c r="H24" s="21"/>
    </row>
    <row r="25" spans="1:8" ht="30" customHeight="1" x14ac:dyDescent="0.3">
      <c r="A25" s="20" t="s">
        <v>25</v>
      </c>
      <c r="B25" s="21"/>
      <c r="C25" s="21"/>
      <c r="D25" s="21"/>
      <c r="E25" s="21"/>
      <c r="F25" s="21"/>
      <c r="G25" s="21"/>
      <c r="H25" s="21"/>
    </row>
    <row r="26" spans="1:8" ht="30" customHeight="1" x14ac:dyDescent="0.3">
      <c r="A26" s="20" t="s">
        <v>26</v>
      </c>
      <c r="B26" s="21"/>
      <c r="C26" s="21"/>
      <c r="D26" s="21"/>
      <c r="E26" s="21"/>
      <c r="F26" s="21"/>
      <c r="G26" s="21"/>
      <c r="H26" s="21"/>
    </row>
    <row r="27" spans="1:8" ht="30" customHeight="1" x14ac:dyDescent="0.3">
      <c r="A27" s="20" t="s">
        <v>27</v>
      </c>
      <c r="B27" s="21"/>
      <c r="C27" s="21"/>
      <c r="D27" s="21"/>
      <c r="E27" s="21"/>
      <c r="F27" s="21"/>
      <c r="G27" s="21"/>
      <c r="H27" s="21"/>
    </row>
    <row r="28" spans="1:8" ht="30" customHeight="1" x14ac:dyDescent="0.3">
      <c r="A28" s="20" t="s">
        <v>28</v>
      </c>
      <c r="B28" s="21"/>
      <c r="C28" s="21"/>
      <c r="D28" s="21"/>
      <c r="E28" s="21"/>
      <c r="F28" s="21"/>
      <c r="G28" s="21"/>
      <c r="H28" s="21"/>
    </row>
  </sheetData>
  <mergeCells count="6">
    <mergeCell ref="A26:H26"/>
    <mergeCell ref="A25:H25"/>
    <mergeCell ref="A24:H24"/>
    <mergeCell ref="A28:H28"/>
    <mergeCell ref="A23:H23"/>
    <mergeCell ref="A27:H27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0" customWidth="1"/>
    <col min="2" max="2" width="24" customWidth="1"/>
    <col min="3" max="3" width="34" customWidth="1"/>
    <col min="4" max="4" width="38" customWidth="1"/>
    <col min="5" max="5" width="26" customWidth="1"/>
    <col min="6" max="6" width="46" customWidth="1"/>
    <col min="7" max="7" width="16" customWidth="1"/>
    <col min="8" max="8" width="14" customWidth="1"/>
  </cols>
  <sheetData>
    <row r="1" spans="1:8" ht="18.75" x14ac:dyDescent="0.3">
      <c r="A1" s="1" t="s">
        <v>29</v>
      </c>
    </row>
    <row r="2" spans="1:8" x14ac:dyDescent="0.3">
      <c r="A2" s="2" t="s">
        <v>30</v>
      </c>
    </row>
    <row r="4" spans="1:8" x14ac:dyDescent="0.3">
      <c r="A4" s="18" t="s">
        <v>31</v>
      </c>
      <c r="B4" s="18" t="s">
        <v>32</v>
      </c>
      <c r="C4" s="18" t="s">
        <v>4</v>
      </c>
      <c r="D4" s="18" t="s">
        <v>6</v>
      </c>
      <c r="E4" s="18" t="s">
        <v>33</v>
      </c>
      <c r="F4" s="18" t="s">
        <v>34</v>
      </c>
      <c r="G4" s="18" t="s">
        <v>35</v>
      </c>
      <c r="H4" s="18" t="s">
        <v>36</v>
      </c>
    </row>
    <row r="5" spans="1:8" x14ac:dyDescent="0.3">
      <c r="A5" s="19" t="s">
        <v>37</v>
      </c>
      <c r="B5" s="19" t="s">
        <v>38</v>
      </c>
      <c r="C5" s="19" t="s">
        <v>39</v>
      </c>
      <c r="D5" s="19" t="s">
        <v>39</v>
      </c>
      <c r="E5" s="19" t="s">
        <v>40</v>
      </c>
      <c r="F5" s="19" t="s">
        <v>41</v>
      </c>
      <c r="G5" s="19" t="s">
        <v>8</v>
      </c>
      <c r="H5" s="19" t="s">
        <v>8</v>
      </c>
    </row>
    <row r="6" spans="1:8" x14ac:dyDescent="0.3">
      <c r="A6" s="19" t="s">
        <v>37</v>
      </c>
      <c r="B6" s="19" t="s">
        <v>42</v>
      </c>
      <c r="C6" s="19" t="s">
        <v>43</v>
      </c>
      <c r="D6" s="19" t="s">
        <v>44</v>
      </c>
      <c r="E6" s="19" t="s">
        <v>45</v>
      </c>
      <c r="F6" s="19" t="s">
        <v>46</v>
      </c>
      <c r="G6" s="19" t="s">
        <v>8</v>
      </c>
      <c r="H6" s="19" t="s">
        <v>8</v>
      </c>
    </row>
    <row r="7" spans="1:8" ht="25.5" x14ac:dyDescent="0.3">
      <c r="A7" s="19" t="s">
        <v>37</v>
      </c>
      <c r="B7" s="19" t="s">
        <v>47</v>
      </c>
      <c r="C7" s="19" t="s">
        <v>48</v>
      </c>
      <c r="D7" s="19" t="s">
        <v>49</v>
      </c>
      <c r="E7" s="19" t="s">
        <v>50</v>
      </c>
      <c r="F7" s="19" t="s">
        <v>51</v>
      </c>
      <c r="G7" s="19" t="s">
        <v>52</v>
      </c>
      <c r="H7" s="19" t="s">
        <v>8</v>
      </c>
    </row>
    <row r="8" spans="1:8" ht="25.5" x14ac:dyDescent="0.3">
      <c r="A8" s="19" t="s">
        <v>37</v>
      </c>
      <c r="B8" s="19" t="s">
        <v>53</v>
      </c>
      <c r="C8" s="19" t="s">
        <v>54</v>
      </c>
      <c r="D8" s="19" t="s">
        <v>55</v>
      </c>
      <c r="E8" s="19" t="s">
        <v>56</v>
      </c>
      <c r="F8" s="19" t="s">
        <v>57</v>
      </c>
      <c r="G8" s="19" t="s">
        <v>8</v>
      </c>
      <c r="H8" s="19" t="s">
        <v>8</v>
      </c>
    </row>
    <row r="9" spans="1:8" x14ac:dyDescent="0.3">
      <c r="A9" s="19" t="s">
        <v>37</v>
      </c>
      <c r="B9" s="19" t="s">
        <v>58</v>
      </c>
      <c r="C9" s="19" t="s">
        <v>59</v>
      </c>
      <c r="D9" s="19" t="s">
        <v>60</v>
      </c>
      <c r="E9" s="19" t="s">
        <v>61</v>
      </c>
      <c r="F9" s="19" t="s">
        <v>62</v>
      </c>
      <c r="G9" s="19" t="s">
        <v>8</v>
      </c>
      <c r="H9" s="19" t="s">
        <v>8</v>
      </c>
    </row>
    <row r="10" spans="1:8" ht="25.5" x14ac:dyDescent="0.3">
      <c r="A10" s="19" t="s">
        <v>37</v>
      </c>
      <c r="B10" s="19" t="s">
        <v>63</v>
      </c>
      <c r="C10" s="19" t="s">
        <v>64</v>
      </c>
      <c r="D10" s="19" t="s">
        <v>65</v>
      </c>
      <c r="E10" s="19" t="s">
        <v>66</v>
      </c>
      <c r="F10" s="19" t="s">
        <v>67</v>
      </c>
      <c r="G10" s="19" t="s">
        <v>8</v>
      </c>
      <c r="H10" s="19" t="s">
        <v>8</v>
      </c>
    </row>
    <row r="11" spans="1:8" x14ac:dyDescent="0.3">
      <c r="A11" s="19" t="s">
        <v>37</v>
      </c>
      <c r="B11" s="19" t="s">
        <v>68</v>
      </c>
      <c r="C11" s="19" t="s">
        <v>69</v>
      </c>
      <c r="D11" s="19" t="s">
        <v>70</v>
      </c>
      <c r="E11" s="19" t="s">
        <v>70</v>
      </c>
      <c r="F11" s="19" t="s">
        <v>71</v>
      </c>
      <c r="G11" s="19" t="s">
        <v>11</v>
      </c>
      <c r="H11" s="19" t="s">
        <v>72</v>
      </c>
    </row>
    <row r="12" spans="1:8" ht="25.5" x14ac:dyDescent="0.3">
      <c r="A12" s="19" t="s">
        <v>73</v>
      </c>
      <c r="B12" s="19" t="s">
        <v>74</v>
      </c>
      <c r="C12" s="19" t="s">
        <v>75</v>
      </c>
      <c r="D12" s="19" t="s">
        <v>76</v>
      </c>
      <c r="E12" s="19" t="s">
        <v>77</v>
      </c>
      <c r="F12" s="19" t="s">
        <v>78</v>
      </c>
      <c r="G12" s="19" t="s">
        <v>8</v>
      </c>
      <c r="H12" s="19" t="s">
        <v>8</v>
      </c>
    </row>
    <row r="13" spans="1:8" x14ac:dyDescent="0.3">
      <c r="A13" s="19" t="s">
        <v>73</v>
      </c>
      <c r="B13" s="19" t="s">
        <v>79</v>
      </c>
      <c r="C13" s="19" t="s">
        <v>80</v>
      </c>
      <c r="D13" s="19" t="s">
        <v>81</v>
      </c>
      <c r="E13" s="19" t="s">
        <v>77</v>
      </c>
      <c r="F13" s="19" t="s">
        <v>82</v>
      </c>
      <c r="G13" s="19" t="s">
        <v>8</v>
      </c>
      <c r="H13" s="19" t="s">
        <v>8</v>
      </c>
    </row>
    <row r="14" spans="1:8" ht="25.5" x14ac:dyDescent="0.3">
      <c r="A14" s="19" t="s">
        <v>73</v>
      </c>
      <c r="B14" s="19" t="s">
        <v>83</v>
      </c>
      <c r="C14" s="19" t="s">
        <v>84</v>
      </c>
      <c r="D14" s="19" t="s">
        <v>85</v>
      </c>
      <c r="E14" s="19" t="s">
        <v>86</v>
      </c>
      <c r="F14" s="19" t="s">
        <v>87</v>
      </c>
      <c r="G14" s="19" t="s">
        <v>8</v>
      </c>
      <c r="H14" s="19" t="s">
        <v>8</v>
      </c>
    </row>
    <row r="15" spans="1:8" x14ac:dyDescent="0.3">
      <c r="A15" s="19" t="s">
        <v>73</v>
      </c>
      <c r="B15" s="19" t="s">
        <v>88</v>
      </c>
      <c r="C15" s="19" t="s">
        <v>89</v>
      </c>
      <c r="D15" s="19" t="s">
        <v>90</v>
      </c>
      <c r="E15" s="19" t="s">
        <v>91</v>
      </c>
      <c r="F15" s="19" t="s">
        <v>92</v>
      </c>
      <c r="G15" s="19" t="s">
        <v>8</v>
      </c>
      <c r="H15" s="19" t="s">
        <v>8</v>
      </c>
    </row>
    <row r="16" spans="1:8" x14ac:dyDescent="0.3">
      <c r="A16" s="19" t="s">
        <v>73</v>
      </c>
      <c r="B16" s="19" t="s">
        <v>93</v>
      </c>
      <c r="C16" s="19" t="s">
        <v>94</v>
      </c>
      <c r="D16" s="19" t="s">
        <v>95</v>
      </c>
      <c r="E16" s="19" t="s">
        <v>96</v>
      </c>
      <c r="F16" s="19"/>
      <c r="G16" s="19" t="s">
        <v>8</v>
      </c>
      <c r="H16" s="19" t="s">
        <v>8</v>
      </c>
    </row>
    <row r="17" spans="1:8" x14ac:dyDescent="0.3">
      <c r="A17" s="19" t="s">
        <v>73</v>
      </c>
      <c r="B17" s="19" t="s">
        <v>97</v>
      </c>
      <c r="C17" s="19" t="s">
        <v>98</v>
      </c>
      <c r="D17" s="19" t="s">
        <v>99</v>
      </c>
      <c r="E17" s="19" t="s">
        <v>100</v>
      </c>
      <c r="F17" s="19" t="s">
        <v>101</v>
      </c>
      <c r="G17" s="19" t="s">
        <v>8</v>
      </c>
      <c r="H17" s="19" t="s">
        <v>9</v>
      </c>
    </row>
    <row r="18" spans="1:8" x14ac:dyDescent="0.3">
      <c r="A18" s="19" t="s">
        <v>73</v>
      </c>
      <c r="B18" s="19" t="s">
        <v>102</v>
      </c>
      <c r="C18" s="19" t="s">
        <v>103</v>
      </c>
      <c r="D18" s="19" t="s">
        <v>104</v>
      </c>
      <c r="E18" s="19" t="s">
        <v>105</v>
      </c>
      <c r="F18" s="19" t="s">
        <v>106</v>
      </c>
      <c r="G18" s="19" t="s">
        <v>8</v>
      </c>
      <c r="H18" s="19" t="s">
        <v>8</v>
      </c>
    </row>
    <row r="19" spans="1:8" x14ac:dyDescent="0.3">
      <c r="A19" s="19" t="s">
        <v>73</v>
      </c>
      <c r="B19" s="19" t="s">
        <v>107</v>
      </c>
      <c r="C19" s="19" t="s">
        <v>108</v>
      </c>
      <c r="D19" s="19" t="s">
        <v>109</v>
      </c>
      <c r="E19" s="19" t="s">
        <v>110</v>
      </c>
      <c r="F19" s="19"/>
      <c r="G19" s="19" t="s">
        <v>8</v>
      </c>
      <c r="H19" s="19" t="s">
        <v>8</v>
      </c>
    </row>
    <row r="20" spans="1:8" x14ac:dyDescent="0.3">
      <c r="A20" s="19" t="s">
        <v>73</v>
      </c>
      <c r="B20" s="19" t="s">
        <v>111</v>
      </c>
      <c r="C20" s="19" t="s">
        <v>112</v>
      </c>
      <c r="D20" s="19" t="s">
        <v>113</v>
      </c>
      <c r="E20" s="19" t="s">
        <v>114</v>
      </c>
      <c r="F20" s="19" t="s">
        <v>115</v>
      </c>
      <c r="G20" s="19" t="s">
        <v>8</v>
      </c>
      <c r="H20" s="19" t="s">
        <v>8</v>
      </c>
    </row>
    <row r="21" spans="1:8" x14ac:dyDescent="0.3">
      <c r="A21" s="19" t="s">
        <v>73</v>
      </c>
      <c r="B21" s="19" t="s">
        <v>116</v>
      </c>
      <c r="C21" s="19" t="s">
        <v>117</v>
      </c>
      <c r="D21" s="19" t="s">
        <v>70</v>
      </c>
      <c r="E21" s="19" t="s">
        <v>118</v>
      </c>
      <c r="F21" s="19" t="s">
        <v>119</v>
      </c>
      <c r="G21" s="19" t="s">
        <v>120</v>
      </c>
      <c r="H21" s="19" t="s">
        <v>72</v>
      </c>
    </row>
    <row r="22" spans="1:8" x14ac:dyDescent="0.3">
      <c r="A22" s="19" t="s">
        <v>73</v>
      </c>
      <c r="B22" s="19" t="s">
        <v>121</v>
      </c>
      <c r="C22" s="19" t="s">
        <v>70</v>
      </c>
      <c r="D22" s="19" t="s">
        <v>122</v>
      </c>
      <c r="E22" s="19" t="s">
        <v>70</v>
      </c>
      <c r="F22" s="19" t="s">
        <v>123</v>
      </c>
      <c r="G22" s="19" t="s">
        <v>72</v>
      </c>
      <c r="H22" s="19" t="s">
        <v>12</v>
      </c>
    </row>
    <row r="23" spans="1:8" ht="25.5" x14ac:dyDescent="0.3">
      <c r="A23" s="19" t="s">
        <v>124</v>
      </c>
      <c r="B23" s="19" t="s">
        <v>125</v>
      </c>
      <c r="C23" s="19" t="s">
        <v>126</v>
      </c>
      <c r="D23" s="19" t="s">
        <v>127</v>
      </c>
      <c r="E23" s="19" t="s">
        <v>128</v>
      </c>
      <c r="F23" s="19" t="s">
        <v>129</v>
      </c>
      <c r="G23" s="19" t="s">
        <v>8</v>
      </c>
      <c r="H23" s="19" t="s">
        <v>8</v>
      </c>
    </row>
    <row r="24" spans="1:8" x14ac:dyDescent="0.3">
      <c r="A24" s="19" t="s">
        <v>124</v>
      </c>
      <c r="B24" s="19" t="s">
        <v>130</v>
      </c>
      <c r="C24" s="19" t="s">
        <v>131</v>
      </c>
      <c r="D24" s="19" t="s">
        <v>132</v>
      </c>
      <c r="E24" s="19" t="s">
        <v>133</v>
      </c>
      <c r="F24" s="19" t="s">
        <v>134</v>
      </c>
      <c r="G24" s="19" t="s">
        <v>8</v>
      </c>
      <c r="H24" s="19" t="s">
        <v>9</v>
      </c>
    </row>
    <row r="25" spans="1:8" x14ac:dyDescent="0.3">
      <c r="A25" s="19" t="s">
        <v>124</v>
      </c>
      <c r="B25" s="19" t="s">
        <v>135</v>
      </c>
      <c r="C25" s="19" t="s">
        <v>136</v>
      </c>
      <c r="D25" s="19" t="s">
        <v>137</v>
      </c>
      <c r="E25" s="19" t="s">
        <v>138</v>
      </c>
      <c r="F25" s="19"/>
      <c r="G25" s="19" t="s">
        <v>8</v>
      </c>
      <c r="H25" s="19" t="s">
        <v>8</v>
      </c>
    </row>
    <row r="26" spans="1:8" x14ac:dyDescent="0.3">
      <c r="A26" s="19" t="s">
        <v>124</v>
      </c>
      <c r="B26" s="19" t="s">
        <v>139</v>
      </c>
      <c r="C26" s="19" t="s">
        <v>140</v>
      </c>
      <c r="D26" s="19" t="s">
        <v>141</v>
      </c>
      <c r="E26" s="19" t="s">
        <v>142</v>
      </c>
      <c r="F26" s="19" t="s">
        <v>143</v>
      </c>
      <c r="G26" s="19" t="s">
        <v>8</v>
      </c>
      <c r="H26" s="19" t="s">
        <v>8</v>
      </c>
    </row>
    <row r="27" spans="1:8" x14ac:dyDescent="0.3">
      <c r="A27" s="19" t="s">
        <v>144</v>
      </c>
      <c r="B27" s="19" t="s">
        <v>145</v>
      </c>
      <c r="C27" s="19" t="s">
        <v>146</v>
      </c>
      <c r="D27" s="19" t="s">
        <v>147</v>
      </c>
      <c r="E27" s="19" t="s">
        <v>148</v>
      </c>
      <c r="F27" s="19" t="s">
        <v>149</v>
      </c>
      <c r="G27" s="19" t="s">
        <v>8</v>
      </c>
      <c r="H27" s="19" t="s">
        <v>8</v>
      </c>
    </row>
    <row r="28" spans="1:8" ht="25.5" x14ac:dyDescent="0.3">
      <c r="A28" s="19" t="s">
        <v>144</v>
      </c>
      <c r="B28" s="19" t="s">
        <v>150</v>
      </c>
      <c r="C28" s="19" t="s">
        <v>151</v>
      </c>
      <c r="D28" s="19" t="s">
        <v>152</v>
      </c>
      <c r="E28" s="19" t="s">
        <v>153</v>
      </c>
      <c r="F28" s="19" t="s">
        <v>154</v>
      </c>
      <c r="G28" s="19" t="s">
        <v>8</v>
      </c>
      <c r="H28" s="19" t="s">
        <v>8</v>
      </c>
    </row>
    <row r="29" spans="1:8" x14ac:dyDescent="0.3">
      <c r="A29" s="19" t="s">
        <v>144</v>
      </c>
      <c r="B29" s="19" t="s">
        <v>155</v>
      </c>
      <c r="C29" s="19" t="s">
        <v>156</v>
      </c>
      <c r="D29" s="19" t="s">
        <v>70</v>
      </c>
      <c r="E29" s="19" t="s">
        <v>157</v>
      </c>
      <c r="F29" s="19" t="s">
        <v>158</v>
      </c>
      <c r="G29" s="19" t="s">
        <v>8</v>
      </c>
      <c r="H29" s="19" t="s">
        <v>72</v>
      </c>
    </row>
    <row r="30" spans="1:8" ht="25.5" x14ac:dyDescent="0.3">
      <c r="A30" s="19" t="s">
        <v>144</v>
      </c>
      <c r="B30" s="19" t="s">
        <v>159</v>
      </c>
      <c r="C30" s="19" t="s">
        <v>160</v>
      </c>
      <c r="D30" s="19" t="s">
        <v>161</v>
      </c>
      <c r="E30" s="19" t="s">
        <v>162</v>
      </c>
      <c r="F30" s="19" t="s">
        <v>163</v>
      </c>
      <c r="G30" s="19" t="s">
        <v>8</v>
      </c>
      <c r="H30" s="19" t="s">
        <v>8</v>
      </c>
    </row>
    <row r="31" spans="1:8" x14ac:dyDescent="0.3">
      <c r="A31" s="19" t="s">
        <v>144</v>
      </c>
      <c r="B31" s="19" t="s">
        <v>164</v>
      </c>
      <c r="C31" s="19" t="s">
        <v>70</v>
      </c>
      <c r="D31" s="19" t="s">
        <v>165</v>
      </c>
      <c r="E31" s="19" t="s">
        <v>166</v>
      </c>
      <c r="F31" s="19" t="s">
        <v>167</v>
      </c>
      <c r="G31" s="19" t="s">
        <v>72</v>
      </c>
      <c r="H31" s="19" t="s">
        <v>8</v>
      </c>
    </row>
    <row r="32" spans="1:8" x14ac:dyDescent="0.3">
      <c r="A32" s="19" t="s">
        <v>144</v>
      </c>
      <c r="B32" s="19" t="s">
        <v>168</v>
      </c>
      <c r="C32" s="19" t="s">
        <v>70</v>
      </c>
      <c r="D32" s="19" t="s">
        <v>169</v>
      </c>
      <c r="E32" s="19" t="s">
        <v>70</v>
      </c>
      <c r="F32" s="19" t="s">
        <v>170</v>
      </c>
      <c r="G32" s="19" t="s">
        <v>72</v>
      </c>
      <c r="H32" s="19" t="s">
        <v>12</v>
      </c>
    </row>
    <row r="33" spans="1:8" ht="38.25" x14ac:dyDescent="0.3">
      <c r="A33" s="19" t="s">
        <v>171</v>
      </c>
      <c r="B33" s="19" t="s">
        <v>172</v>
      </c>
      <c r="C33" s="19" t="s">
        <v>173</v>
      </c>
      <c r="D33" s="19" t="s">
        <v>174</v>
      </c>
      <c r="E33" s="19" t="s">
        <v>175</v>
      </c>
      <c r="F33" s="19" t="s">
        <v>176</v>
      </c>
      <c r="G33" s="19" t="s">
        <v>8</v>
      </c>
      <c r="H33" s="19" t="s">
        <v>8</v>
      </c>
    </row>
    <row r="34" spans="1:8" x14ac:dyDescent="0.3">
      <c r="A34" s="19" t="s">
        <v>177</v>
      </c>
      <c r="B34" s="19" t="s">
        <v>178</v>
      </c>
      <c r="C34" s="19" t="s">
        <v>179</v>
      </c>
      <c r="D34" s="19" t="s">
        <v>180</v>
      </c>
      <c r="E34" s="19" t="s">
        <v>181</v>
      </c>
      <c r="F34" s="19" t="s">
        <v>182</v>
      </c>
      <c r="G34" s="19" t="s">
        <v>13</v>
      </c>
      <c r="H34" s="19" t="s">
        <v>10</v>
      </c>
    </row>
    <row r="35" spans="1:8" ht="25.5" x14ac:dyDescent="0.3">
      <c r="A35" s="19" t="s">
        <v>177</v>
      </c>
      <c r="B35" s="19" t="s">
        <v>183</v>
      </c>
      <c r="C35" s="19" t="s">
        <v>184</v>
      </c>
      <c r="D35" s="19" t="s">
        <v>185</v>
      </c>
      <c r="E35" s="19" t="s">
        <v>186</v>
      </c>
      <c r="F35" s="19" t="s">
        <v>187</v>
      </c>
      <c r="G35" s="19" t="s">
        <v>8</v>
      </c>
      <c r="H35" s="19" t="s">
        <v>8</v>
      </c>
    </row>
    <row r="36" spans="1:8" x14ac:dyDescent="0.3">
      <c r="A36" s="19" t="s">
        <v>177</v>
      </c>
      <c r="B36" s="19" t="s">
        <v>188</v>
      </c>
      <c r="C36" s="19" t="s">
        <v>189</v>
      </c>
      <c r="D36" s="19" t="s">
        <v>190</v>
      </c>
      <c r="E36" s="19" t="s">
        <v>175</v>
      </c>
      <c r="F36" s="19" t="s">
        <v>191</v>
      </c>
      <c r="G36" s="19" t="s">
        <v>8</v>
      </c>
      <c r="H36" s="19" t="s">
        <v>8</v>
      </c>
    </row>
    <row r="37" spans="1:8" ht="25.5" x14ac:dyDescent="0.3">
      <c r="A37" s="19" t="s">
        <v>177</v>
      </c>
      <c r="B37" s="19" t="s">
        <v>192</v>
      </c>
      <c r="C37" s="19" t="s">
        <v>193</v>
      </c>
      <c r="D37" s="19" t="s">
        <v>194</v>
      </c>
      <c r="E37" s="19" t="s">
        <v>175</v>
      </c>
      <c r="F37" s="19" t="s">
        <v>195</v>
      </c>
      <c r="G37" s="19" t="s">
        <v>8</v>
      </c>
      <c r="H37" s="19" t="s">
        <v>8</v>
      </c>
    </row>
    <row r="38" spans="1:8" ht="25.5" x14ac:dyDescent="0.3">
      <c r="A38" s="19" t="s">
        <v>177</v>
      </c>
      <c r="B38" s="19" t="s">
        <v>196</v>
      </c>
      <c r="C38" s="19" t="s">
        <v>70</v>
      </c>
      <c r="D38" s="19" t="s">
        <v>197</v>
      </c>
      <c r="E38" s="19" t="s">
        <v>198</v>
      </c>
      <c r="F38" s="19" t="s">
        <v>199</v>
      </c>
      <c r="G38" s="19" t="s">
        <v>72</v>
      </c>
      <c r="H38" s="19" t="s">
        <v>9</v>
      </c>
    </row>
    <row r="39" spans="1:8" x14ac:dyDescent="0.3">
      <c r="A39" s="19" t="s">
        <v>200</v>
      </c>
      <c r="B39" s="19" t="s">
        <v>201</v>
      </c>
      <c r="C39" s="19" t="s">
        <v>202</v>
      </c>
      <c r="D39" s="19" t="s">
        <v>203</v>
      </c>
      <c r="E39" s="19" t="s">
        <v>204</v>
      </c>
      <c r="F39" s="19" t="s">
        <v>205</v>
      </c>
      <c r="G39" s="19" t="s">
        <v>8</v>
      </c>
      <c r="H39" s="19" t="s">
        <v>8</v>
      </c>
    </row>
    <row r="40" spans="1:8" x14ac:dyDescent="0.3">
      <c r="A40" s="19" t="s">
        <v>200</v>
      </c>
      <c r="B40" s="19" t="s">
        <v>206</v>
      </c>
      <c r="C40" s="19" t="s">
        <v>70</v>
      </c>
      <c r="D40" s="19" t="s">
        <v>207</v>
      </c>
      <c r="E40" s="19" t="s">
        <v>208</v>
      </c>
      <c r="F40" s="19" t="s">
        <v>209</v>
      </c>
      <c r="G40" s="19" t="s">
        <v>72</v>
      </c>
      <c r="H40" s="19" t="s">
        <v>8</v>
      </c>
    </row>
    <row r="41" spans="1:8" x14ac:dyDescent="0.3">
      <c r="A41" s="19" t="s">
        <v>200</v>
      </c>
      <c r="B41" s="19" t="s">
        <v>210</v>
      </c>
      <c r="C41" s="19" t="s">
        <v>70</v>
      </c>
      <c r="D41" s="19" t="s">
        <v>211</v>
      </c>
      <c r="E41" s="19" t="s">
        <v>212</v>
      </c>
      <c r="F41" s="19" t="s">
        <v>213</v>
      </c>
      <c r="G41" s="19" t="s">
        <v>72</v>
      </c>
      <c r="H41" s="19" t="s">
        <v>8</v>
      </c>
    </row>
    <row r="42" spans="1:8" x14ac:dyDescent="0.3">
      <c r="A42" s="19" t="s">
        <v>200</v>
      </c>
      <c r="B42" s="19" t="s">
        <v>214</v>
      </c>
      <c r="C42" s="19" t="s">
        <v>70</v>
      </c>
      <c r="D42" s="19" t="s">
        <v>215</v>
      </c>
      <c r="E42" s="19" t="s">
        <v>212</v>
      </c>
      <c r="F42" s="19" t="s">
        <v>216</v>
      </c>
      <c r="G42" s="19" t="s">
        <v>72</v>
      </c>
      <c r="H42" s="19" t="s">
        <v>8</v>
      </c>
    </row>
    <row r="43" spans="1:8" x14ac:dyDescent="0.3">
      <c r="A43" s="19" t="s">
        <v>200</v>
      </c>
      <c r="B43" s="19" t="s">
        <v>217</v>
      </c>
      <c r="C43" s="19" t="s">
        <v>218</v>
      </c>
      <c r="D43" s="19" t="s">
        <v>219</v>
      </c>
      <c r="E43" s="19" t="s">
        <v>220</v>
      </c>
      <c r="F43" s="19" t="s">
        <v>221</v>
      </c>
      <c r="G43" s="19" t="s">
        <v>8</v>
      </c>
      <c r="H43" s="19" t="s">
        <v>8</v>
      </c>
    </row>
    <row r="44" spans="1:8" x14ac:dyDescent="0.3">
      <c r="A44" s="19" t="s">
        <v>13</v>
      </c>
      <c r="B44" s="19" t="s">
        <v>222</v>
      </c>
      <c r="C44" s="19" t="s">
        <v>70</v>
      </c>
      <c r="D44" s="19" t="s">
        <v>223</v>
      </c>
      <c r="E44" s="19" t="s">
        <v>70</v>
      </c>
      <c r="F44" s="19" t="s">
        <v>224</v>
      </c>
      <c r="G44" s="19" t="s">
        <v>72</v>
      </c>
      <c r="H44" s="19" t="s">
        <v>12</v>
      </c>
    </row>
    <row r="45" spans="1:8" x14ac:dyDescent="0.3">
      <c r="A45" s="19" t="s">
        <v>13</v>
      </c>
      <c r="B45" s="19" t="s">
        <v>225</v>
      </c>
      <c r="C45" s="19" t="s">
        <v>70</v>
      </c>
      <c r="D45" s="19" t="s">
        <v>226</v>
      </c>
      <c r="E45" s="19" t="s">
        <v>70</v>
      </c>
      <c r="F45" s="19" t="s">
        <v>227</v>
      </c>
      <c r="G45" s="19" t="s">
        <v>72</v>
      </c>
      <c r="H45" s="19" t="s">
        <v>11</v>
      </c>
    </row>
    <row r="46" spans="1:8" ht="25.5" x14ac:dyDescent="0.3">
      <c r="A46" s="19" t="s">
        <v>228</v>
      </c>
      <c r="B46" s="19" t="s">
        <v>229</v>
      </c>
      <c r="C46" s="19" t="s">
        <v>230</v>
      </c>
      <c r="D46" s="19" t="s">
        <v>231</v>
      </c>
      <c r="E46" s="19" t="s">
        <v>232</v>
      </c>
      <c r="F46" s="19" t="s">
        <v>233</v>
      </c>
      <c r="G46" s="19" t="s">
        <v>8</v>
      </c>
      <c r="H46" s="19" t="s">
        <v>8</v>
      </c>
    </row>
  </sheetData>
  <autoFilter ref="A4:H46" xr:uid="{00000000-0009-0000-0000-000001000000}"/>
  <phoneticPr fontId="9" type="noConversion"/>
  <conditionalFormatting sqref="G5:H46">
    <cfRule type="expression" dxfId="27" priority="1">
      <formula>G5="검증완료"</formula>
    </cfRule>
    <cfRule type="expression" dxfId="26" priority="2">
      <formula>G5="부분검증"</formula>
    </cfRule>
    <cfRule type="expression" dxfId="25" priority="3">
      <formula>G5="미검증"</formula>
    </cfRule>
    <cfRule type="expression" dxfId="24" priority="4">
      <formula>G5="미구현"</formula>
    </cfRule>
    <cfRule type="expression" dxfId="23" priority="5">
      <formula>G5="미지원"</formula>
    </cfRule>
    <cfRule type="expression" dxfId="22" priority="6">
      <formula>G5="기타"</formula>
    </cfRule>
    <cfRule type="expression" dxfId="21" priority="7">
      <formula>G5="해당없음"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0"/>
  <sheetViews>
    <sheetView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6" customWidth="1"/>
    <col min="2" max="2" width="16" customWidth="1"/>
    <col min="3" max="3" width="20" customWidth="1"/>
    <col min="4" max="4" width="34" customWidth="1"/>
    <col min="5" max="5" width="11" customWidth="1"/>
    <col min="6" max="6" width="90" customWidth="1"/>
    <col min="7" max="7" width="14" customWidth="1"/>
  </cols>
  <sheetData>
    <row r="1" spans="1:7" ht="18.75" x14ac:dyDescent="0.3">
      <c r="A1" s="1" t="s">
        <v>234</v>
      </c>
    </row>
    <row r="2" spans="1:7" x14ac:dyDescent="0.3">
      <c r="A2" s="2" t="s">
        <v>235</v>
      </c>
    </row>
    <row r="4" spans="1:7" x14ac:dyDescent="0.3">
      <c r="A4" s="18" t="s">
        <v>236</v>
      </c>
      <c r="B4" s="18" t="s">
        <v>237</v>
      </c>
      <c r="C4" s="18" t="s">
        <v>238</v>
      </c>
      <c r="D4" s="18" t="s">
        <v>32</v>
      </c>
      <c r="E4" s="18" t="s">
        <v>3</v>
      </c>
      <c r="F4" s="18" t="s">
        <v>239</v>
      </c>
      <c r="G4" s="18" t="s">
        <v>240</v>
      </c>
    </row>
    <row r="5" spans="1:7" x14ac:dyDescent="0.3">
      <c r="A5" s="19">
        <v>1</v>
      </c>
      <c r="B5" s="19" t="s">
        <v>241</v>
      </c>
      <c r="C5" s="19" t="s">
        <v>242</v>
      </c>
      <c r="D5" s="19" t="s">
        <v>243</v>
      </c>
      <c r="E5" s="19" t="s">
        <v>8</v>
      </c>
      <c r="F5" s="19" t="s">
        <v>244</v>
      </c>
      <c r="G5" s="19"/>
    </row>
    <row r="6" spans="1:7" x14ac:dyDescent="0.3">
      <c r="A6" s="19">
        <v>2</v>
      </c>
      <c r="B6" s="19" t="s">
        <v>241</v>
      </c>
      <c r="C6" s="19" t="s">
        <v>245</v>
      </c>
      <c r="D6" s="19" t="s">
        <v>246</v>
      </c>
      <c r="E6" s="19" t="s">
        <v>8</v>
      </c>
      <c r="F6" s="19" t="s">
        <v>247</v>
      </c>
      <c r="G6" s="19"/>
    </row>
    <row r="7" spans="1:7" x14ac:dyDescent="0.3">
      <c r="A7" s="19">
        <v>3</v>
      </c>
      <c r="B7" s="19" t="s">
        <v>241</v>
      </c>
      <c r="C7" s="19" t="s">
        <v>248</v>
      </c>
      <c r="D7" s="19" t="s">
        <v>249</v>
      </c>
      <c r="E7" s="19" t="s">
        <v>13</v>
      </c>
      <c r="F7" s="19" t="s">
        <v>250</v>
      </c>
      <c r="G7" s="19" t="s">
        <v>13</v>
      </c>
    </row>
    <row r="8" spans="1:7" ht="38.25" x14ac:dyDescent="0.3">
      <c r="A8" s="19">
        <v>4</v>
      </c>
      <c r="B8" s="19" t="s">
        <v>241</v>
      </c>
      <c r="C8" s="19" t="s">
        <v>251</v>
      </c>
      <c r="D8" s="19" t="s">
        <v>252</v>
      </c>
      <c r="E8" s="19" t="s">
        <v>8</v>
      </c>
      <c r="F8" s="19" t="s">
        <v>253</v>
      </c>
      <c r="G8" s="19"/>
    </row>
    <row r="9" spans="1:7" x14ac:dyDescent="0.3">
      <c r="A9" s="19">
        <v>5</v>
      </c>
      <c r="B9" s="19" t="s">
        <v>241</v>
      </c>
      <c r="C9" s="19" t="s">
        <v>254</v>
      </c>
      <c r="D9" s="19" t="s">
        <v>255</v>
      </c>
      <c r="E9" s="19" t="s">
        <v>8</v>
      </c>
      <c r="F9" s="19" t="s">
        <v>256</v>
      </c>
      <c r="G9" s="19"/>
    </row>
    <row r="10" spans="1:7" x14ac:dyDescent="0.3">
      <c r="A10" s="19">
        <v>6</v>
      </c>
      <c r="B10" s="19" t="s">
        <v>241</v>
      </c>
      <c r="C10" s="19" t="s">
        <v>257</v>
      </c>
      <c r="D10" s="19" t="s">
        <v>258</v>
      </c>
      <c r="E10" s="19" t="s">
        <v>8</v>
      </c>
      <c r="F10" s="19" t="s">
        <v>259</v>
      </c>
      <c r="G10" s="19"/>
    </row>
    <row r="11" spans="1:7" x14ac:dyDescent="0.3">
      <c r="A11" s="19">
        <v>7</v>
      </c>
      <c r="B11" s="19" t="s">
        <v>241</v>
      </c>
      <c r="C11" s="19" t="s">
        <v>260</v>
      </c>
      <c r="D11" s="19" t="s">
        <v>261</v>
      </c>
      <c r="E11" s="19" t="s">
        <v>10</v>
      </c>
      <c r="F11" s="19" t="s">
        <v>262</v>
      </c>
      <c r="G11" s="19"/>
    </row>
    <row r="12" spans="1:7" ht="38.25" x14ac:dyDescent="0.3">
      <c r="A12" s="19">
        <v>8</v>
      </c>
      <c r="B12" s="19" t="s">
        <v>241</v>
      </c>
      <c r="C12" s="19" t="s">
        <v>263</v>
      </c>
      <c r="D12" s="19" t="s">
        <v>264</v>
      </c>
      <c r="E12" s="19" t="s">
        <v>8</v>
      </c>
      <c r="F12" s="19" t="s">
        <v>265</v>
      </c>
      <c r="G12" s="19"/>
    </row>
    <row r="13" spans="1:7" x14ac:dyDescent="0.3">
      <c r="A13" s="19">
        <v>9</v>
      </c>
      <c r="B13" s="19" t="s">
        <v>241</v>
      </c>
      <c r="C13" s="19" t="s">
        <v>69</v>
      </c>
      <c r="D13" s="19" t="s">
        <v>266</v>
      </c>
      <c r="E13" s="19" t="s">
        <v>11</v>
      </c>
      <c r="F13" s="19" t="s">
        <v>267</v>
      </c>
      <c r="G13" s="19"/>
    </row>
    <row r="14" spans="1:7" ht="25.5" x14ac:dyDescent="0.3">
      <c r="A14" s="19">
        <v>10</v>
      </c>
      <c r="B14" s="19" t="s">
        <v>241</v>
      </c>
      <c r="C14" s="19" t="s">
        <v>268</v>
      </c>
      <c r="D14" s="19" t="s">
        <v>269</v>
      </c>
      <c r="E14" s="19" t="s">
        <v>8</v>
      </c>
      <c r="F14" s="19" t="s">
        <v>270</v>
      </c>
      <c r="G14" s="19"/>
    </row>
    <row r="15" spans="1:7" x14ac:dyDescent="0.3">
      <c r="A15" s="19">
        <v>11</v>
      </c>
      <c r="B15" s="19" t="s">
        <v>241</v>
      </c>
      <c r="C15" s="19" t="s">
        <v>59</v>
      </c>
      <c r="D15" s="19" t="s">
        <v>271</v>
      </c>
      <c r="E15" s="19" t="s">
        <v>8</v>
      </c>
      <c r="F15" s="19" t="s">
        <v>272</v>
      </c>
      <c r="G15" s="19"/>
    </row>
    <row r="16" spans="1:7" x14ac:dyDescent="0.3">
      <c r="A16" s="19">
        <v>12</v>
      </c>
      <c r="B16" s="19" t="s">
        <v>241</v>
      </c>
      <c r="C16" s="19" t="s">
        <v>273</v>
      </c>
      <c r="D16" s="19" t="s">
        <v>274</v>
      </c>
      <c r="E16" s="19" t="s">
        <v>8</v>
      </c>
      <c r="F16" s="19" t="s">
        <v>275</v>
      </c>
      <c r="G16" s="19"/>
    </row>
    <row r="17" spans="1:7" ht="25.5" x14ac:dyDescent="0.3">
      <c r="A17" s="19">
        <v>13</v>
      </c>
      <c r="B17" s="19" t="s">
        <v>241</v>
      </c>
      <c r="C17" s="19" t="s">
        <v>276</v>
      </c>
      <c r="D17" s="19" t="s">
        <v>277</v>
      </c>
      <c r="E17" s="19" t="s">
        <v>8</v>
      </c>
      <c r="F17" s="19" t="s">
        <v>278</v>
      </c>
      <c r="G17" s="19"/>
    </row>
    <row r="18" spans="1:7" x14ac:dyDescent="0.3">
      <c r="A18" s="19">
        <v>14</v>
      </c>
      <c r="B18" s="19" t="s">
        <v>279</v>
      </c>
      <c r="C18" s="19" t="s">
        <v>75</v>
      </c>
      <c r="D18" s="19" t="s">
        <v>280</v>
      </c>
      <c r="E18" s="19" t="s">
        <v>8</v>
      </c>
      <c r="F18" s="19" t="s">
        <v>281</v>
      </c>
      <c r="G18" s="19"/>
    </row>
    <row r="19" spans="1:7" ht="25.5" x14ac:dyDescent="0.3">
      <c r="A19" s="19">
        <v>15</v>
      </c>
      <c r="B19" s="19" t="s">
        <v>279</v>
      </c>
      <c r="C19" s="19" t="s">
        <v>89</v>
      </c>
      <c r="D19" s="19" t="s">
        <v>282</v>
      </c>
      <c r="E19" s="19" t="s">
        <v>8</v>
      </c>
      <c r="F19" s="19" t="s">
        <v>283</v>
      </c>
      <c r="G19" s="19"/>
    </row>
    <row r="20" spans="1:7" x14ac:dyDescent="0.3">
      <c r="A20" s="19">
        <v>16</v>
      </c>
      <c r="B20" s="19" t="s">
        <v>284</v>
      </c>
      <c r="C20" s="19" t="s">
        <v>80</v>
      </c>
      <c r="D20" s="19" t="s">
        <v>285</v>
      </c>
      <c r="E20" s="19" t="s">
        <v>8</v>
      </c>
      <c r="F20" s="19" t="s">
        <v>286</v>
      </c>
      <c r="G20" s="19"/>
    </row>
    <row r="21" spans="1:7" x14ac:dyDescent="0.3">
      <c r="A21" s="19">
        <v>17</v>
      </c>
      <c r="B21" s="19" t="s">
        <v>284</v>
      </c>
      <c r="C21" s="19" t="s">
        <v>287</v>
      </c>
      <c r="D21" s="19" t="s">
        <v>288</v>
      </c>
      <c r="E21" s="19" t="s">
        <v>8</v>
      </c>
      <c r="F21" s="19" t="s">
        <v>289</v>
      </c>
      <c r="G21" s="19"/>
    </row>
    <row r="22" spans="1:7" x14ac:dyDescent="0.3">
      <c r="A22" s="19">
        <v>18</v>
      </c>
      <c r="B22" s="19" t="s">
        <v>284</v>
      </c>
      <c r="C22" s="19" t="s">
        <v>290</v>
      </c>
      <c r="D22" s="19" t="s">
        <v>291</v>
      </c>
      <c r="E22" s="19" t="s">
        <v>8</v>
      </c>
      <c r="F22" s="19" t="s">
        <v>292</v>
      </c>
      <c r="G22" s="19"/>
    </row>
    <row r="23" spans="1:7" ht="38.25" x14ac:dyDescent="0.3">
      <c r="A23" s="19">
        <v>19</v>
      </c>
      <c r="B23" s="19" t="s">
        <v>284</v>
      </c>
      <c r="C23" s="19" t="s">
        <v>293</v>
      </c>
      <c r="D23" s="19" t="s">
        <v>294</v>
      </c>
      <c r="E23" s="19" t="s">
        <v>8</v>
      </c>
      <c r="F23" s="19" t="s">
        <v>295</v>
      </c>
      <c r="G23" s="19"/>
    </row>
    <row r="24" spans="1:7" ht="51" x14ac:dyDescent="0.3">
      <c r="A24" s="19">
        <v>20</v>
      </c>
      <c r="B24" s="19" t="s">
        <v>284</v>
      </c>
      <c r="C24" s="19" t="s">
        <v>296</v>
      </c>
      <c r="D24" s="19" t="s">
        <v>297</v>
      </c>
      <c r="E24" s="19" t="s">
        <v>8</v>
      </c>
      <c r="F24" s="19" t="s">
        <v>298</v>
      </c>
      <c r="G24" s="19"/>
    </row>
    <row r="25" spans="1:7" ht="25.5" x14ac:dyDescent="0.3">
      <c r="A25" s="19">
        <v>21</v>
      </c>
      <c r="B25" s="19" t="s">
        <v>284</v>
      </c>
      <c r="C25" s="19" t="s">
        <v>94</v>
      </c>
      <c r="D25" s="19" t="s">
        <v>299</v>
      </c>
      <c r="E25" s="19" t="s">
        <v>8</v>
      </c>
      <c r="F25" s="19" t="s">
        <v>300</v>
      </c>
      <c r="G25" s="19"/>
    </row>
    <row r="26" spans="1:7" ht="38.25" x14ac:dyDescent="0.3">
      <c r="A26" s="19">
        <v>22</v>
      </c>
      <c r="B26" s="19" t="s">
        <v>301</v>
      </c>
      <c r="C26" s="19" t="s">
        <v>302</v>
      </c>
      <c r="D26" s="19" t="s">
        <v>303</v>
      </c>
      <c r="E26" s="19" t="s">
        <v>8</v>
      </c>
      <c r="F26" s="19" t="s">
        <v>304</v>
      </c>
      <c r="G26" s="19"/>
    </row>
    <row r="27" spans="1:7" x14ac:dyDescent="0.3">
      <c r="A27" s="19">
        <v>23</v>
      </c>
      <c r="B27" s="19" t="s">
        <v>301</v>
      </c>
      <c r="C27" s="19" t="s">
        <v>305</v>
      </c>
      <c r="D27" s="19" t="s">
        <v>306</v>
      </c>
      <c r="E27" s="19" t="s">
        <v>8</v>
      </c>
      <c r="F27" s="19" t="s">
        <v>256</v>
      </c>
      <c r="G27" s="19"/>
    </row>
    <row r="28" spans="1:7" x14ac:dyDescent="0.3">
      <c r="A28" s="19">
        <v>24</v>
      </c>
      <c r="B28" s="19" t="s">
        <v>307</v>
      </c>
      <c r="C28" s="19" t="s">
        <v>112</v>
      </c>
      <c r="D28" s="19" t="s">
        <v>308</v>
      </c>
      <c r="E28" s="19" t="s">
        <v>8</v>
      </c>
      <c r="F28" s="19" t="s">
        <v>309</v>
      </c>
      <c r="G28" s="19"/>
    </row>
    <row r="29" spans="1:7" x14ac:dyDescent="0.3">
      <c r="A29" s="19">
        <v>25</v>
      </c>
      <c r="B29" s="19" t="s">
        <v>310</v>
      </c>
      <c r="C29" s="19" t="s">
        <v>311</v>
      </c>
      <c r="D29" s="19" t="s">
        <v>312</v>
      </c>
      <c r="E29" s="19" t="s">
        <v>8</v>
      </c>
      <c r="F29" s="19" t="s">
        <v>313</v>
      </c>
      <c r="G29" s="19"/>
    </row>
    <row r="30" spans="1:7" ht="51" x14ac:dyDescent="0.3">
      <c r="A30" s="19">
        <v>26</v>
      </c>
      <c r="B30" s="19" t="s">
        <v>310</v>
      </c>
      <c r="C30" s="19" t="s">
        <v>314</v>
      </c>
      <c r="D30" s="19" t="s">
        <v>315</v>
      </c>
      <c r="E30" s="19" t="s">
        <v>8</v>
      </c>
      <c r="F30" s="19" t="s">
        <v>316</v>
      </c>
      <c r="G30" s="19"/>
    </row>
    <row r="31" spans="1:7" ht="38.25" x14ac:dyDescent="0.3">
      <c r="A31" s="19">
        <v>27</v>
      </c>
      <c r="B31" s="19" t="s">
        <v>310</v>
      </c>
      <c r="C31" s="19" t="s">
        <v>317</v>
      </c>
      <c r="D31" s="19" t="s">
        <v>318</v>
      </c>
      <c r="E31" s="19" t="s">
        <v>8</v>
      </c>
      <c r="F31" s="19" t="s">
        <v>319</v>
      </c>
      <c r="G31" s="19"/>
    </row>
    <row r="32" spans="1:7" ht="51" x14ac:dyDescent="0.3">
      <c r="A32" s="19">
        <v>28</v>
      </c>
      <c r="B32" s="19" t="s">
        <v>310</v>
      </c>
      <c r="C32" s="19" t="s">
        <v>320</v>
      </c>
      <c r="D32" s="19" t="s">
        <v>321</v>
      </c>
      <c r="E32" s="19" t="s">
        <v>8</v>
      </c>
      <c r="F32" s="19" t="s">
        <v>322</v>
      </c>
      <c r="G32" s="19"/>
    </row>
    <row r="33" spans="1:7" ht="51" x14ac:dyDescent="0.3">
      <c r="A33" s="19">
        <v>29</v>
      </c>
      <c r="B33" s="19" t="s">
        <v>310</v>
      </c>
      <c r="C33" s="19" t="s">
        <v>323</v>
      </c>
      <c r="D33" s="19" t="s">
        <v>324</v>
      </c>
      <c r="E33" s="19" t="s">
        <v>8</v>
      </c>
      <c r="F33" s="19" t="s">
        <v>325</v>
      </c>
      <c r="G33" s="19"/>
    </row>
    <row r="34" spans="1:7" ht="51" x14ac:dyDescent="0.3">
      <c r="A34" s="19">
        <v>30</v>
      </c>
      <c r="B34" s="19" t="s">
        <v>326</v>
      </c>
      <c r="C34" s="19" t="s">
        <v>327</v>
      </c>
      <c r="D34" s="19" t="s">
        <v>328</v>
      </c>
      <c r="E34" s="19" t="s">
        <v>8</v>
      </c>
      <c r="F34" s="19" t="s">
        <v>329</v>
      </c>
      <c r="G34" s="19"/>
    </row>
    <row r="35" spans="1:7" x14ac:dyDescent="0.3">
      <c r="A35" s="19">
        <v>31</v>
      </c>
      <c r="B35" s="19" t="s">
        <v>326</v>
      </c>
      <c r="C35" s="19" t="s">
        <v>330</v>
      </c>
      <c r="D35" s="19" t="s">
        <v>331</v>
      </c>
      <c r="E35" s="19" t="s">
        <v>8</v>
      </c>
      <c r="F35" s="19" t="s">
        <v>332</v>
      </c>
      <c r="G35" s="19"/>
    </row>
    <row r="36" spans="1:7" ht="51" x14ac:dyDescent="0.3">
      <c r="A36" s="19">
        <v>32</v>
      </c>
      <c r="B36" s="19" t="s">
        <v>326</v>
      </c>
      <c r="C36" s="19" t="s">
        <v>136</v>
      </c>
      <c r="D36" s="19" t="s">
        <v>333</v>
      </c>
      <c r="E36" s="19" t="s">
        <v>8</v>
      </c>
      <c r="F36" s="19" t="s">
        <v>334</v>
      </c>
      <c r="G36" s="19"/>
    </row>
    <row r="37" spans="1:7" ht="51" x14ac:dyDescent="0.3">
      <c r="A37" s="19">
        <v>33</v>
      </c>
      <c r="B37" s="19" t="s">
        <v>326</v>
      </c>
      <c r="C37" s="19" t="s">
        <v>335</v>
      </c>
      <c r="D37" s="19" t="s">
        <v>336</v>
      </c>
      <c r="E37" s="19" t="s">
        <v>8</v>
      </c>
      <c r="F37" s="19" t="s">
        <v>337</v>
      </c>
      <c r="G37" s="19"/>
    </row>
    <row r="38" spans="1:7" ht="25.5" x14ac:dyDescent="0.3">
      <c r="A38" s="19">
        <v>34</v>
      </c>
      <c r="B38" s="19" t="s">
        <v>326</v>
      </c>
      <c r="C38" s="19" t="s">
        <v>338</v>
      </c>
      <c r="D38" s="19" t="s">
        <v>339</v>
      </c>
      <c r="E38" s="19" t="s">
        <v>8</v>
      </c>
      <c r="F38" s="19" t="s">
        <v>340</v>
      </c>
      <c r="G38" s="19"/>
    </row>
    <row r="39" spans="1:7" ht="25.5" x14ac:dyDescent="0.3">
      <c r="A39" s="19">
        <v>35</v>
      </c>
      <c r="B39" s="19" t="s">
        <v>341</v>
      </c>
      <c r="C39" s="19" t="s">
        <v>342</v>
      </c>
      <c r="D39" s="19" t="s">
        <v>343</v>
      </c>
      <c r="E39" s="19" t="s">
        <v>8</v>
      </c>
      <c r="F39" s="19" t="s">
        <v>344</v>
      </c>
      <c r="G39" s="19"/>
    </row>
    <row r="40" spans="1:7" ht="25.5" x14ac:dyDescent="0.3">
      <c r="A40" s="19">
        <v>36</v>
      </c>
      <c r="B40" s="19" t="s">
        <v>341</v>
      </c>
      <c r="C40" s="19" t="s">
        <v>345</v>
      </c>
      <c r="D40" s="19" t="s">
        <v>346</v>
      </c>
      <c r="E40" s="19" t="s">
        <v>8</v>
      </c>
      <c r="F40" s="19" t="s">
        <v>347</v>
      </c>
      <c r="G40" s="19"/>
    </row>
    <row r="41" spans="1:7" x14ac:dyDescent="0.3">
      <c r="A41" s="19">
        <v>37</v>
      </c>
      <c r="B41" s="19" t="s">
        <v>348</v>
      </c>
      <c r="C41" s="19" t="s">
        <v>349</v>
      </c>
      <c r="D41" s="19" t="s">
        <v>350</v>
      </c>
      <c r="E41" s="19" t="s">
        <v>8</v>
      </c>
      <c r="F41" s="19" t="s">
        <v>256</v>
      </c>
      <c r="G41" s="19"/>
    </row>
    <row r="42" spans="1:7" ht="25.5" x14ac:dyDescent="0.3">
      <c r="A42" s="19">
        <v>38</v>
      </c>
      <c r="B42" s="19" t="s">
        <v>348</v>
      </c>
      <c r="C42" s="19" t="s">
        <v>351</v>
      </c>
      <c r="D42" s="19" t="s">
        <v>352</v>
      </c>
      <c r="E42" s="19" t="s">
        <v>8</v>
      </c>
      <c r="F42" s="19" t="s">
        <v>353</v>
      </c>
      <c r="G42" s="19"/>
    </row>
    <row r="43" spans="1:7" x14ac:dyDescent="0.3">
      <c r="A43" s="19">
        <v>39</v>
      </c>
      <c r="B43" s="19" t="s">
        <v>348</v>
      </c>
      <c r="C43" s="19" t="s">
        <v>354</v>
      </c>
      <c r="D43" s="19" t="s">
        <v>355</v>
      </c>
      <c r="E43" s="19" t="s">
        <v>8</v>
      </c>
      <c r="F43" s="19" t="s">
        <v>356</v>
      </c>
      <c r="G43" s="19"/>
    </row>
    <row r="44" spans="1:7" x14ac:dyDescent="0.3">
      <c r="A44" s="19">
        <v>40</v>
      </c>
      <c r="B44" s="19" t="s">
        <v>348</v>
      </c>
      <c r="C44" s="19" t="s">
        <v>357</v>
      </c>
      <c r="D44" s="19" t="s">
        <v>358</v>
      </c>
      <c r="E44" s="19" t="s">
        <v>8</v>
      </c>
      <c r="F44" s="19" t="s">
        <v>359</v>
      </c>
      <c r="G44" s="19"/>
    </row>
    <row r="45" spans="1:7" x14ac:dyDescent="0.3">
      <c r="A45" s="19">
        <v>41</v>
      </c>
      <c r="B45" s="19" t="s">
        <v>348</v>
      </c>
      <c r="C45" s="19" t="s">
        <v>360</v>
      </c>
      <c r="D45" s="19" t="s">
        <v>361</v>
      </c>
      <c r="E45" s="19" t="s">
        <v>8</v>
      </c>
      <c r="F45" s="19" t="s">
        <v>362</v>
      </c>
      <c r="G45" s="19"/>
    </row>
    <row r="46" spans="1:7" ht="38.25" x14ac:dyDescent="0.3">
      <c r="A46" s="19">
        <v>42</v>
      </c>
      <c r="B46" s="19" t="s">
        <v>348</v>
      </c>
      <c r="C46" s="19" t="s">
        <v>363</v>
      </c>
      <c r="D46" s="19" t="s">
        <v>364</v>
      </c>
      <c r="E46" s="19" t="s">
        <v>8</v>
      </c>
      <c r="F46" s="19" t="s">
        <v>365</v>
      </c>
      <c r="G46" s="19"/>
    </row>
    <row r="47" spans="1:7" ht="38.25" x14ac:dyDescent="0.3">
      <c r="A47" s="19">
        <v>43</v>
      </c>
      <c r="B47" s="19" t="s">
        <v>366</v>
      </c>
      <c r="C47" s="19" t="s">
        <v>367</v>
      </c>
      <c r="D47" s="19" t="s">
        <v>368</v>
      </c>
      <c r="E47" s="19" t="s">
        <v>8</v>
      </c>
      <c r="F47" s="19" t="s">
        <v>369</v>
      </c>
      <c r="G47" s="19"/>
    </row>
    <row r="48" spans="1:7" ht="25.5" x14ac:dyDescent="0.3">
      <c r="A48" s="19">
        <v>44</v>
      </c>
      <c r="B48" s="19" t="s">
        <v>366</v>
      </c>
      <c r="C48" s="19" t="s">
        <v>370</v>
      </c>
      <c r="D48" s="19" t="s">
        <v>371</v>
      </c>
      <c r="E48" s="19" t="s">
        <v>8</v>
      </c>
      <c r="F48" s="19" t="s">
        <v>372</v>
      </c>
      <c r="G48" s="19"/>
    </row>
    <row r="49" spans="1:7" ht="38.25" x14ac:dyDescent="0.3">
      <c r="A49" s="19">
        <v>45</v>
      </c>
      <c r="B49" s="19" t="s">
        <v>366</v>
      </c>
      <c r="C49" s="19" t="s">
        <v>373</v>
      </c>
      <c r="D49" s="19" t="s">
        <v>374</v>
      </c>
      <c r="E49" s="19" t="s">
        <v>8</v>
      </c>
      <c r="F49" s="19" t="s">
        <v>375</v>
      </c>
      <c r="G49" s="19"/>
    </row>
    <row r="50" spans="1:7" x14ac:dyDescent="0.3">
      <c r="A50" s="19">
        <v>46</v>
      </c>
      <c r="B50" s="19" t="s">
        <v>376</v>
      </c>
      <c r="C50" s="19" t="s">
        <v>377</v>
      </c>
      <c r="D50" s="19" t="s">
        <v>378</v>
      </c>
      <c r="E50" s="19" t="s">
        <v>8</v>
      </c>
      <c r="F50" s="19" t="s">
        <v>256</v>
      </c>
      <c r="G50" s="19"/>
    </row>
    <row r="51" spans="1:7" ht="51" x14ac:dyDescent="0.3">
      <c r="A51" s="19">
        <v>47</v>
      </c>
      <c r="B51" s="19" t="s">
        <v>376</v>
      </c>
      <c r="C51" s="19" t="s">
        <v>379</v>
      </c>
      <c r="D51" s="19" t="s">
        <v>380</v>
      </c>
      <c r="E51" s="19" t="s">
        <v>8</v>
      </c>
      <c r="F51" s="19" t="s">
        <v>381</v>
      </c>
      <c r="G51" s="19"/>
    </row>
    <row r="52" spans="1:7" ht="25.5" x14ac:dyDescent="0.3">
      <c r="A52" s="19">
        <v>48</v>
      </c>
      <c r="B52" s="19" t="s">
        <v>376</v>
      </c>
      <c r="C52" s="19" t="s">
        <v>382</v>
      </c>
      <c r="D52" s="19" t="s">
        <v>383</v>
      </c>
      <c r="E52" s="19" t="s">
        <v>8</v>
      </c>
      <c r="F52" s="19" t="s">
        <v>384</v>
      </c>
      <c r="G52" s="19"/>
    </row>
    <row r="53" spans="1:7" x14ac:dyDescent="0.3">
      <c r="A53" s="19">
        <v>49</v>
      </c>
      <c r="B53" s="19" t="s">
        <v>376</v>
      </c>
      <c r="C53" s="19" t="s">
        <v>385</v>
      </c>
      <c r="D53" s="19" t="s">
        <v>386</v>
      </c>
      <c r="E53" s="19" t="s">
        <v>8</v>
      </c>
      <c r="F53" s="19" t="s">
        <v>387</v>
      </c>
      <c r="G53" s="19"/>
    </row>
    <row r="54" spans="1:7" x14ac:dyDescent="0.3">
      <c r="A54" s="19">
        <v>50</v>
      </c>
      <c r="B54" s="19" t="s">
        <v>376</v>
      </c>
      <c r="C54" s="19" t="s">
        <v>388</v>
      </c>
      <c r="D54" s="19" t="s">
        <v>389</v>
      </c>
      <c r="E54" s="19" t="s">
        <v>8</v>
      </c>
      <c r="F54" s="19" t="s">
        <v>390</v>
      </c>
      <c r="G54" s="19"/>
    </row>
    <row r="55" spans="1:7" x14ac:dyDescent="0.3">
      <c r="A55" s="19">
        <v>51</v>
      </c>
      <c r="B55" s="19" t="s">
        <v>376</v>
      </c>
      <c r="C55" s="19" t="s">
        <v>391</v>
      </c>
      <c r="D55" s="19" t="s">
        <v>392</v>
      </c>
      <c r="E55" s="19" t="s">
        <v>8</v>
      </c>
      <c r="F55" s="19" t="s">
        <v>393</v>
      </c>
      <c r="G55" s="19"/>
    </row>
    <row r="56" spans="1:7" ht="38.25" x14ac:dyDescent="0.3">
      <c r="A56" s="19">
        <v>52</v>
      </c>
      <c r="B56" s="19" t="s">
        <v>394</v>
      </c>
      <c r="C56" s="19" t="s">
        <v>395</v>
      </c>
      <c r="D56" s="19" t="s">
        <v>396</v>
      </c>
      <c r="E56" s="19" t="s">
        <v>13</v>
      </c>
      <c r="F56" s="19" t="s">
        <v>397</v>
      </c>
      <c r="G56" s="19" t="s">
        <v>398</v>
      </c>
    </row>
    <row r="57" spans="1:7" ht="38.25" x14ac:dyDescent="0.3">
      <c r="A57" s="19">
        <v>53</v>
      </c>
      <c r="B57" s="19" t="s">
        <v>394</v>
      </c>
      <c r="C57" s="19" t="s">
        <v>399</v>
      </c>
      <c r="D57" s="19" t="s">
        <v>400</v>
      </c>
      <c r="E57" s="19" t="s">
        <v>8</v>
      </c>
      <c r="F57" s="19" t="s">
        <v>401</v>
      </c>
      <c r="G57" s="19"/>
    </row>
    <row r="58" spans="1:7" ht="51" x14ac:dyDescent="0.3">
      <c r="A58" s="19">
        <v>54</v>
      </c>
      <c r="B58" s="19" t="s">
        <v>394</v>
      </c>
      <c r="C58" s="19" t="s">
        <v>402</v>
      </c>
      <c r="D58" s="19" t="s">
        <v>403</v>
      </c>
      <c r="E58" s="19" t="s">
        <v>8</v>
      </c>
      <c r="F58" s="19" t="s">
        <v>404</v>
      </c>
      <c r="G58" s="19"/>
    </row>
    <row r="59" spans="1:7" ht="25.5" x14ac:dyDescent="0.3">
      <c r="A59" s="19">
        <v>55</v>
      </c>
      <c r="B59" s="19" t="s">
        <v>394</v>
      </c>
      <c r="C59" s="19" t="s">
        <v>405</v>
      </c>
      <c r="D59" s="19" t="s">
        <v>406</v>
      </c>
      <c r="E59" s="19" t="s">
        <v>8</v>
      </c>
      <c r="F59" s="19" t="s">
        <v>407</v>
      </c>
      <c r="G59" s="19"/>
    </row>
    <row r="60" spans="1:7" ht="25.5" x14ac:dyDescent="0.3">
      <c r="A60" s="19">
        <v>56</v>
      </c>
      <c r="B60" s="19" t="s">
        <v>394</v>
      </c>
      <c r="C60" s="19" t="s">
        <v>408</v>
      </c>
      <c r="D60" s="19" t="s">
        <v>409</v>
      </c>
      <c r="E60" s="19" t="s">
        <v>8</v>
      </c>
      <c r="F60" s="19" t="s">
        <v>410</v>
      </c>
      <c r="G60" s="19"/>
    </row>
    <row r="61" spans="1:7" x14ac:dyDescent="0.3">
      <c r="A61" s="19">
        <v>57</v>
      </c>
      <c r="B61" s="19" t="s">
        <v>394</v>
      </c>
      <c r="C61" s="19" t="s">
        <v>411</v>
      </c>
      <c r="D61" s="19" t="s">
        <v>412</v>
      </c>
      <c r="E61" s="19" t="s">
        <v>8</v>
      </c>
      <c r="F61" s="19" t="s">
        <v>413</v>
      </c>
      <c r="G61" s="19"/>
    </row>
    <row r="62" spans="1:7" x14ac:dyDescent="0.3">
      <c r="A62" s="19">
        <v>58</v>
      </c>
      <c r="B62" s="19" t="s">
        <v>394</v>
      </c>
      <c r="C62" s="19" t="s">
        <v>414</v>
      </c>
      <c r="D62" s="19" t="s">
        <v>415</v>
      </c>
      <c r="E62" s="19" t="s">
        <v>8</v>
      </c>
      <c r="F62" s="19" t="s">
        <v>416</v>
      </c>
      <c r="G62" s="19"/>
    </row>
    <row r="63" spans="1:7" ht="25.5" x14ac:dyDescent="0.3">
      <c r="A63" s="19">
        <v>59</v>
      </c>
      <c r="B63" s="19" t="s">
        <v>394</v>
      </c>
      <c r="C63" s="19" t="s">
        <v>417</v>
      </c>
      <c r="D63" s="19" t="s">
        <v>418</v>
      </c>
      <c r="E63" s="19" t="s">
        <v>8</v>
      </c>
      <c r="F63" s="19" t="s">
        <v>419</v>
      </c>
      <c r="G63" s="19"/>
    </row>
    <row r="64" spans="1:7" x14ac:dyDescent="0.3">
      <c r="A64" s="19">
        <v>60</v>
      </c>
      <c r="B64" s="19" t="s">
        <v>420</v>
      </c>
      <c r="C64" s="19" t="s">
        <v>421</v>
      </c>
      <c r="D64" s="19" t="s">
        <v>422</v>
      </c>
      <c r="E64" s="19" t="s">
        <v>8</v>
      </c>
      <c r="F64" s="19" t="s">
        <v>423</v>
      </c>
      <c r="G64" s="19"/>
    </row>
    <row r="65" spans="1:7" x14ac:dyDescent="0.3">
      <c r="A65" s="19">
        <v>61</v>
      </c>
      <c r="B65" s="19" t="s">
        <v>420</v>
      </c>
      <c r="C65" s="19" t="s">
        <v>424</v>
      </c>
      <c r="D65" s="19" t="s">
        <v>425</v>
      </c>
      <c r="E65" s="19" t="s">
        <v>8</v>
      </c>
      <c r="F65" s="19" t="s">
        <v>426</v>
      </c>
      <c r="G65" s="19"/>
    </row>
    <row r="66" spans="1:7" ht="38.25" x14ac:dyDescent="0.3">
      <c r="A66" s="19">
        <v>62</v>
      </c>
      <c r="B66" s="19" t="s">
        <v>348</v>
      </c>
      <c r="C66" s="19" t="s">
        <v>427</v>
      </c>
      <c r="D66" s="19" t="s">
        <v>428</v>
      </c>
      <c r="E66" s="19" t="s">
        <v>8</v>
      </c>
      <c r="F66" s="19" t="s">
        <v>429</v>
      </c>
      <c r="G66" s="19"/>
    </row>
    <row r="67" spans="1:7" ht="25.5" x14ac:dyDescent="0.3">
      <c r="A67" s="19">
        <v>63</v>
      </c>
      <c r="B67" s="19" t="s">
        <v>348</v>
      </c>
      <c r="C67" s="19" t="s">
        <v>430</v>
      </c>
      <c r="D67" s="19" t="s">
        <v>431</v>
      </c>
      <c r="E67" s="19" t="s">
        <v>8</v>
      </c>
      <c r="F67" s="19" t="s">
        <v>432</v>
      </c>
      <c r="G67" s="19"/>
    </row>
    <row r="68" spans="1:7" ht="25.5" x14ac:dyDescent="0.3">
      <c r="A68" s="19">
        <v>64</v>
      </c>
      <c r="B68" s="19" t="s">
        <v>376</v>
      </c>
      <c r="C68" s="19" t="s">
        <v>433</v>
      </c>
      <c r="D68" s="19" t="s">
        <v>434</v>
      </c>
      <c r="E68" s="19" t="s">
        <v>8</v>
      </c>
      <c r="F68" s="19" t="s">
        <v>435</v>
      </c>
      <c r="G68" s="19"/>
    </row>
    <row r="69" spans="1:7" ht="38.25" x14ac:dyDescent="0.3">
      <c r="A69" s="19">
        <v>65</v>
      </c>
      <c r="B69" s="19" t="s">
        <v>436</v>
      </c>
      <c r="C69" s="19" t="s">
        <v>437</v>
      </c>
      <c r="D69" s="19" t="s">
        <v>438</v>
      </c>
      <c r="E69" s="19" t="s">
        <v>10</v>
      </c>
      <c r="F69" s="19" t="s">
        <v>439</v>
      </c>
      <c r="G69" s="19"/>
    </row>
    <row r="70" spans="1:7" ht="38.25" x14ac:dyDescent="0.3">
      <c r="A70" s="19">
        <v>66</v>
      </c>
      <c r="B70" s="19" t="s">
        <v>436</v>
      </c>
      <c r="C70" s="19" t="s">
        <v>440</v>
      </c>
      <c r="D70" s="19" t="s">
        <v>441</v>
      </c>
      <c r="E70" s="19" t="s">
        <v>8</v>
      </c>
      <c r="F70" s="19" t="s">
        <v>442</v>
      </c>
      <c r="G70" s="19"/>
    </row>
  </sheetData>
  <autoFilter ref="A4:G70" xr:uid="{00000000-0009-0000-0000-000002000000}"/>
  <phoneticPr fontId="9" type="noConversion"/>
  <conditionalFormatting sqref="E5:E70">
    <cfRule type="expression" dxfId="20" priority="1">
      <formula>$E5="검증완료"</formula>
    </cfRule>
    <cfRule type="expression" dxfId="19" priority="2">
      <formula>$E5="부분검증"</formula>
    </cfRule>
    <cfRule type="expression" dxfId="18" priority="3">
      <formula>$E5="미검증"</formula>
    </cfRule>
    <cfRule type="expression" dxfId="17" priority="4">
      <formula>$E5="미구현"</formula>
    </cfRule>
    <cfRule type="expression" dxfId="16" priority="5">
      <formula>$E5="미지원"</formula>
    </cfRule>
    <cfRule type="expression" dxfId="15" priority="6">
      <formula>$E5="기타"</formula>
    </cfRule>
  </conditionalFormatting>
  <dataValidations count="1">
    <dataValidation type="list" allowBlank="1" sqref="E5:E70" xr:uid="{00000000-0002-0000-0200-000000000000}">
      <formula1>"검증완료,부분검증,미검증,미구현,미지원,기타"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9"/>
  <sheetViews>
    <sheetView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2" customWidth="1"/>
    <col min="2" max="2" width="6" customWidth="1"/>
    <col min="3" max="3" width="30" customWidth="1"/>
    <col min="4" max="4" width="11" customWidth="1"/>
    <col min="5" max="5" width="26" customWidth="1"/>
    <col min="6" max="6" width="90" customWidth="1"/>
  </cols>
  <sheetData>
    <row r="1" spans="1:6" ht="18.75" x14ac:dyDescent="0.3">
      <c r="A1" s="1" t="s">
        <v>443</v>
      </c>
    </row>
    <row r="2" spans="1:6" x14ac:dyDescent="0.3">
      <c r="A2" s="2" t="s">
        <v>444</v>
      </c>
    </row>
    <row r="4" spans="1:6" x14ac:dyDescent="0.3">
      <c r="A4" s="18" t="s">
        <v>445</v>
      </c>
      <c r="B4" s="18" t="s">
        <v>237</v>
      </c>
      <c r="C4" s="18" t="s">
        <v>446</v>
      </c>
      <c r="D4" s="18" t="s">
        <v>3</v>
      </c>
      <c r="E4" s="18" t="s">
        <v>447</v>
      </c>
      <c r="F4" s="18" t="s">
        <v>239</v>
      </c>
    </row>
    <row r="5" spans="1:6" x14ac:dyDescent="0.3">
      <c r="A5" s="19" t="s">
        <v>448</v>
      </c>
      <c r="B5" s="19" t="s">
        <v>449</v>
      </c>
      <c r="C5" s="19" t="s">
        <v>450</v>
      </c>
      <c r="D5" s="19" t="s">
        <v>8</v>
      </c>
      <c r="E5" s="19" t="s">
        <v>451</v>
      </c>
      <c r="F5" s="19"/>
    </row>
    <row r="6" spans="1:6" x14ac:dyDescent="0.3">
      <c r="A6" s="19" t="s">
        <v>448</v>
      </c>
      <c r="B6" s="19" t="s">
        <v>449</v>
      </c>
      <c r="C6" s="19" t="s">
        <v>452</v>
      </c>
      <c r="D6" s="19" t="s">
        <v>8</v>
      </c>
      <c r="E6" s="19" t="s">
        <v>45</v>
      </c>
      <c r="F6" s="19" t="s">
        <v>453</v>
      </c>
    </row>
    <row r="7" spans="1:6" x14ac:dyDescent="0.3">
      <c r="A7" s="19" t="s">
        <v>448</v>
      </c>
      <c r="B7" s="19" t="s">
        <v>449</v>
      </c>
      <c r="C7" s="19" t="s">
        <v>454</v>
      </c>
      <c r="D7" s="19" t="s">
        <v>8</v>
      </c>
      <c r="E7" s="19" t="s">
        <v>254</v>
      </c>
      <c r="F7" s="19"/>
    </row>
    <row r="8" spans="1:6" x14ac:dyDescent="0.3">
      <c r="A8" s="19" t="s">
        <v>448</v>
      </c>
      <c r="B8" s="19" t="s">
        <v>449</v>
      </c>
      <c r="C8" s="19" t="s">
        <v>455</v>
      </c>
      <c r="D8" s="19" t="s">
        <v>8</v>
      </c>
      <c r="E8" s="19" t="s">
        <v>456</v>
      </c>
      <c r="F8" s="19" t="s">
        <v>457</v>
      </c>
    </row>
    <row r="9" spans="1:6" ht="25.5" x14ac:dyDescent="0.3">
      <c r="A9" s="19" t="s">
        <v>448</v>
      </c>
      <c r="B9" s="19" t="s">
        <v>449</v>
      </c>
      <c r="C9" s="19" t="s">
        <v>458</v>
      </c>
      <c r="D9" s="19" t="s">
        <v>8</v>
      </c>
      <c r="E9" s="19" t="s">
        <v>459</v>
      </c>
      <c r="F9" s="19" t="s">
        <v>460</v>
      </c>
    </row>
    <row r="10" spans="1:6" x14ac:dyDescent="0.3">
      <c r="A10" s="19" t="s">
        <v>448</v>
      </c>
      <c r="B10" s="19" t="s">
        <v>449</v>
      </c>
      <c r="C10" s="19" t="s">
        <v>461</v>
      </c>
      <c r="D10" s="19" t="s">
        <v>8</v>
      </c>
      <c r="E10" s="19" t="s">
        <v>462</v>
      </c>
      <c r="F10" s="19" t="s">
        <v>463</v>
      </c>
    </row>
    <row r="11" spans="1:6" ht="25.5" x14ac:dyDescent="0.3">
      <c r="A11" s="19" t="s">
        <v>448</v>
      </c>
      <c r="B11" s="19" t="s">
        <v>449</v>
      </c>
      <c r="C11" s="19" t="s">
        <v>464</v>
      </c>
      <c r="D11" s="19" t="s">
        <v>8</v>
      </c>
      <c r="E11" s="19" t="s">
        <v>465</v>
      </c>
      <c r="F11" s="19" t="s">
        <v>466</v>
      </c>
    </row>
    <row r="12" spans="1:6" x14ac:dyDescent="0.3">
      <c r="A12" s="19" t="s">
        <v>448</v>
      </c>
      <c r="B12" s="19" t="s">
        <v>449</v>
      </c>
      <c r="C12" s="19" t="s">
        <v>467</v>
      </c>
      <c r="D12" s="19" t="s">
        <v>8</v>
      </c>
      <c r="E12" s="19" t="s">
        <v>263</v>
      </c>
      <c r="F12" s="19" t="s">
        <v>468</v>
      </c>
    </row>
    <row r="13" spans="1:6" x14ac:dyDescent="0.3">
      <c r="A13" s="19" t="s">
        <v>448</v>
      </c>
      <c r="B13" s="19" t="s">
        <v>449</v>
      </c>
      <c r="C13" s="19" t="s">
        <v>469</v>
      </c>
      <c r="D13" s="19" t="s">
        <v>8</v>
      </c>
      <c r="E13" s="19" t="s">
        <v>268</v>
      </c>
      <c r="F13" s="19" t="s">
        <v>470</v>
      </c>
    </row>
    <row r="14" spans="1:6" x14ac:dyDescent="0.3">
      <c r="A14" s="19" t="s">
        <v>448</v>
      </c>
      <c r="B14" s="19" t="s">
        <v>449</v>
      </c>
      <c r="C14" s="19" t="s">
        <v>471</v>
      </c>
      <c r="D14" s="19" t="s">
        <v>8</v>
      </c>
      <c r="E14" s="19" t="s">
        <v>472</v>
      </c>
      <c r="F14" s="19" t="s">
        <v>473</v>
      </c>
    </row>
    <row r="15" spans="1:6" x14ac:dyDescent="0.3">
      <c r="A15" s="19" t="s">
        <v>448</v>
      </c>
      <c r="B15" s="19" t="s">
        <v>449</v>
      </c>
      <c r="C15" s="19" t="s">
        <v>474</v>
      </c>
      <c r="D15" s="19" t="s">
        <v>8</v>
      </c>
      <c r="E15" s="19" t="s">
        <v>276</v>
      </c>
      <c r="F15" s="19" t="s">
        <v>475</v>
      </c>
    </row>
    <row r="16" spans="1:6" x14ac:dyDescent="0.3">
      <c r="A16" s="19" t="s">
        <v>448</v>
      </c>
      <c r="B16" s="19" t="s">
        <v>449</v>
      </c>
      <c r="C16" s="19" t="s">
        <v>476</v>
      </c>
      <c r="D16" s="19" t="s">
        <v>8</v>
      </c>
      <c r="E16" s="19" t="s">
        <v>477</v>
      </c>
      <c r="F16" s="19" t="s">
        <v>478</v>
      </c>
    </row>
    <row r="17" spans="1:6" x14ac:dyDescent="0.3">
      <c r="A17" s="19" t="s">
        <v>448</v>
      </c>
      <c r="B17" s="19" t="s">
        <v>449</v>
      </c>
      <c r="C17" s="19" t="s">
        <v>223</v>
      </c>
      <c r="D17" s="19" t="s">
        <v>12</v>
      </c>
      <c r="E17" s="19"/>
      <c r="F17" s="19" t="s">
        <v>479</v>
      </c>
    </row>
    <row r="18" spans="1:6" x14ac:dyDescent="0.3">
      <c r="A18" s="19" t="s">
        <v>448</v>
      </c>
      <c r="B18" s="19" t="s">
        <v>480</v>
      </c>
      <c r="C18" s="19" t="s">
        <v>481</v>
      </c>
      <c r="D18" s="19" t="s">
        <v>8</v>
      </c>
      <c r="E18" s="19" t="s">
        <v>482</v>
      </c>
      <c r="F18" s="19" t="s">
        <v>483</v>
      </c>
    </row>
    <row r="19" spans="1:6" x14ac:dyDescent="0.3">
      <c r="A19" s="19" t="s">
        <v>448</v>
      </c>
      <c r="B19" s="19" t="s">
        <v>480</v>
      </c>
      <c r="C19" s="19" t="s">
        <v>81</v>
      </c>
      <c r="D19" s="19" t="s">
        <v>8</v>
      </c>
      <c r="E19" s="19" t="s">
        <v>484</v>
      </c>
      <c r="F19" s="19" t="s">
        <v>485</v>
      </c>
    </row>
    <row r="20" spans="1:6" x14ac:dyDescent="0.3">
      <c r="A20" s="19" t="s">
        <v>448</v>
      </c>
      <c r="B20" s="19" t="s">
        <v>480</v>
      </c>
      <c r="C20" s="19" t="s">
        <v>486</v>
      </c>
      <c r="D20" s="19" t="s">
        <v>8</v>
      </c>
      <c r="E20" s="19" t="s">
        <v>86</v>
      </c>
      <c r="F20" s="19" t="s">
        <v>487</v>
      </c>
    </row>
    <row r="21" spans="1:6" x14ac:dyDescent="0.3">
      <c r="A21" s="19" t="s">
        <v>448</v>
      </c>
      <c r="B21" s="19" t="s">
        <v>480</v>
      </c>
      <c r="C21" s="19" t="s">
        <v>488</v>
      </c>
      <c r="D21" s="19" t="s">
        <v>12</v>
      </c>
      <c r="E21" s="19"/>
      <c r="F21" s="19" t="s">
        <v>489</v>
      </c>
    </row>
    <row r="22" spans="1:6" x14ac:dyDescent="0.3">
      <c r="A22" s="19" t="s">
        <v>448</v>
      </c>
      <c r="B22" s="19" t="s">
        <v>480</v>
      </c>
      <c r="C22" s="19" t="s">
        <v>490</v>
      </c>
      <c r="D22" s="19" t="s">
        <v>8</v>
      </c>
      <c r="E22" s="19" t="s">
        <v>290</v>
      </c>
      <c r="F22" s="19"/>
    </row>
    <row r="23" spans="1:6" x14ac:dyDescent="0.3">
      <c r="A23" s="19" t="s">
        <v>448</v>
      </c>
      <c r="B23" s="19" t="s">
        <v>480</v>
      </c>
      <c r="C23" s="19" t="s">
        <v>491</v>
      </c>
      <c r="D23" s="19" t="s">
        <v>8</v>
      </c>
      <c r="E23" s="19" t="s">
        <v>86</v>
      </c>
      <c r="F23" s="19" t="s">
        <v>492</v>
      </c>
    </row>
    <row r="24" spans="1:6" x14ac:dyDescent="0.3">
      <c r="A24" s="19" t="s">
        <v>448</v>
      </c>
      <c r="B24" s="19" t="s">
        <v>480</v>
      </c>
      <c r="C24" s="19" t="s">
        <v>493</v>
      </c>
      <c r="D24" s="19" t="s">
        <v>8</v>
      </c>
      <c r="E24" s="19" t="s">
        <v>91</v>
      </c>
      <c r="F24" s="19" t="s">
        <v>494</v>
      </c>
    </row>
    <row r="25" spans="1:6" x14ac:dyDescent="0.3">
      <c r="A25" s="19" t="s">
        <v>448</v>
      </c>
      <c r="B25" s="19" t="s">
        <v>480</v>
      </c>
      <c r="C25" s="19" t="s">
        <v>495</v>
      </c>
      <c r="D25" s="19" t="s">
        <v>8</v>
      </c>
      <c r="E25" s="19" t="s">
        <v>496</v>
      </c>
      <c r="F25" s="19" t="s">
        <v>497</v>
      </c>
    </row>
    <row r="26" spans="1:6" x14ac:dyDescent="0.3">
      <c r="A26" s="19" t="s">
        <v>448</v>
      </c>
      <c r="B26" s="19" t="s">
        <v>480</v>
      </c>
      <c r="C26" s="19" t="s">
        <v>498</v>
      </c>
      <c r="D26" s="19" t="s">
        <v>8</v>
      </c>
      <c r="E26" s="19" t="s">
        <v>499</v>
      </c>
      <c r="F26" s="19" t="s">
        <v>500</v>
      </c>
    </row>
    <row r="27" spans="1:6" x14ac:dyDescent="0.3">
      <c r="A27" s="19" t="s">
        <v>448</v>
      </c>
      <c r="B27" s="19" t="s">
        <v>480</v>
      </c>
      <c r="C27" s="19" t="s">
        <v>501</v>
      </c>
      <c r="D27" s="19" t="s">
        <v>8</v>
      </c>
      <c r="E27" s="19" t="s">
        <v>502</v>
      </c>
      <c r="F27" s="19" t="s">
        <v>503</v>
      </c>
    </row>
    <row r="28" spans="1:6" x14ac:dyDescent="0.3">
      <c r="A28" s="19" t="s">
        <v>448</v>
      </c>
      <c r="B28" s="19" t="s">
        <v>504</v>
      </c>
      <c r="C28" s="19" t="s">
        <v>505</v>
      </c>
      <c r="D28" s="19" t="s">
        <v>8</v>
      </c>
      <c r="E28" s="19" t="s">
        <v>105</v>
      </c>
      <c r="F28" s="19" t="s">
        <v>506</v>
      </c>
    </row>
    <row r="29" spans="1:6" x14ac:dyDescent="0.3">
      <c r="A29" s="19" t="s">
        <v>448</v>
      </c>
      <c r="B29" s="19" t="s">
        <v>504</v>
      </c>
      <c r="C29" s="19" t="s">
        <v>507</v>
      </c>
      <c r="D29" s="19" t="s">
        <v>8</v>
      </c>
      <c r="E29" s="19" t="s">
        <v>110</v>
      </c>
      <c r="F29" s="19" t="s">
        <v>508</v>
      </c>
    </row>
    <row r="30" spans="1:6" x14ac:dyDescent="0.3">
      <c r="A30" s="19" t="s">
        <v>448</v>
      </c>
      <c r="B30" s="19" t="s">
        <v>504</v>
      </c>
      <c r="C30" s="19" t="s">
        <v>509</v>
      </c>
      <c r="D30" s="19" t="s">
        <v>8</v>
      </c>
      <c r="E30" s="19" t="s">
        <v>110</v>
      </c>
      <c r="F30" s="19"/>
    </row>
    <row r="31" spans="1:6" ht="25.5" x14ac:dyDescent="0.3">
      <c r="A31" s="19" t="s">
        <v>448</v>
      </c>
      <c r="B31" s="19" t="s">
        <v>510</v>
      </c>
      <c r="C31" s="19" t="s">
        <v>511</v>
      </c>
      <c r="D31" s="19" t="s">
        <v>8</v>
      </c>
      <c r="E31" s="19" t="s">
        <v>114</v>
      </c>
      <c r="F31" s="19" t="s">
        <v>512</v>
      </c>
    </row>
    <row r="32" spans="1:6" x14ac:dyDescent="0.3">
      <c r="A32" s="19" t="s">
        <v>448</v>
      </c>
      <c r="B32" s="19" t="s">
        <v>510</v>
      </c>
      <c r="C32" s="19" t="s">
        <v>513</v>
      </c>
      <c r="D32" s="19" t="s">
        <v>12</v>
      </c>
      <c r="E32" s="19"/>
      <c r="F32" s="19" t="s">
        <v>514</v>
      </c>
    </row>
    <row r="33" spans="1:6" x14ac:dyDescent="0.3">
      <c r="A33" s="19" t="s">
        <v>448</v>
      </c>
      <c r="B33" s="19" t="s">
        <v>510</v>
      </c>
      <c r="C33" s="19" t="s">
        <v>515</v>
      </c>
      <c r="D33" s="19" t="s">
        <v>12</v>
      </c>
      <c r="E33" s="19"/>
      <c r="F33" s="19" t="s">
        <v>516</v>
      </c>
    </row>
    <row r="34" spans="1:6" x14ac:dyDescent="0.3">
      <c r="A34" s="19" t="s">
        <v>448</v>
      </c>
      <c r="B34" s="19" t="s">
        <v>510</v>
      </c>
      <c r="C34" s="19" t="s">
        <v>517</v>
      </c>
      <c r="D34" s="19" t="s">
        <v>12</v>
      </c>
      <c r="E34" s="19"/>
      <c r="F34" s="19" t="s">
        <v>518</v>
      </c>
    </row>
    <row r="35" spans="1:6" x14ac:dyDescent="0.3">
      <c r="A35" s="19" t="s">
        <v>448</v>
      </c>
      <c r="B35" s="19" t="s">
        <v>519</v>
      </c>
      <c r="C35" s="19" t="s">
        <v>520</v>
      </c>
      <c r="D35" s="19" t="s">
        <v>8</v>
      </c>
      <c r="E35" s="19" t="s">
        <v>96</v>
      </c>
      <c r="F35" s="19"/>
    </row>
    <row r="36" spans="1:6" x14ac:dyDescent="0.3">
      <c r="A36" s="19" t="s">
        <v>448</v>
      </c>
      <c r="B36" s="19" t="s">
        <v>519</v>
      </c>
      <c r="C36" s="19" t="s">
        <v>521</v>
      </c>
      <c r="D36" s="19" t="s">
        <v>8</v>
      </c>
      <c r="E36" s="19" t="s">
        <v>522</v>
      </c>
      <c r="F36" s="19" t="s">
        <v>523</v>
      </c>
    </row>
    <row r="37" spans="1:6" x14ac:dyDescent="0.3">
      <c r="A37" s="19" t="s">
        <v>448</v>
      </c>
      <c r="B37" s="19" t="s">
        <v>519</v>
      </c>
      <c r="C37" s="19" t="s">
        <v>524</v>
      </c>
      <c r="D37" s="19" t="s">
        <v>8</v>
      </c>
      <c r="E37" s="19" t="s">
        <v>522</v>
      </c>
      <c r="F37" s="19" t="s">
        <v>525</v>
      </c>
    </row>
    <row r="38" spans="1:6" ht="25.5" x14ac:dyDescent="0.3">
      <c r="A38" s="19" t="s">
        <v>448</v>
      </c>
      <c r="B38" s="19" t="s">
        <v>519</v>
      </c>
      <c r="C38" s="19" t="s">
        <v>526</v>
      </c>
      <c r="D38" s="19" t="s">
        <v>8</v>
      </c>
      <c r="E38" s="19" t="s">
        <v>522</v>
      </c>
      <c r="F38" s="19" t="s">
        <v>527</v>
      </c>
    </row>
    <row r="39" spans="1:6" x14ac:dyDescent="0.3">
      <c r="A39" s="19" t="s">
        <v>448</v>
      </c>
      <c r="B39" s="19" t="s">
        <v>519</v>
      </c>
      <c r="C39" s="19" t="s">
        <v>528</v>
      </c>
      <c r="D39" s="19" t="s">
        <v>8</v>
      </c>
      <c r="E39" s="19" t="s">
        <v>522</v>
      </c>
      <c r="F39" s="19" t="s">
        <v>529</v>
      </c>
    </row>
    <row r="40" spans="1:6" x14ac:dyDescent="0.3">
      <c r="A40" s="19" t="s">
        <v>448</v>
      </c>
      <c r="B40" s="19" t="s">
        <v>519</v>
      </c>
      <c r="C40" s="19" t="s">
        <v>530</v>
      </c>
      <c r="D40" s="19" t="s">
        <v>8</v>
      </c>
      <c r="E40" s="19" t="s">
        <v>531</v>
      </c>
      <c r="F40" s="19" t="s">
        <v>532</v>
      </c>
    </row>
    <row r="41" spans="1:6" x14ac:dyDescent="0.3">
      <c r="A41" s="19" t="s">
        <v>448</v>
      </c>
      <c r="B41" s="19" t="s">
        <v>519</v>
      </c>
      <c r="C41" s="19" t="s">
        <v>533</v>
      </c>
      <c r="D41" s="19" t="s">
        <v>8</v>
      </c>
      <c r="E41" s="19" t="s">
        <v>522</v>
      </c>
      <c r="F41" s="19"/>
    </row>
    <row r="42" spans="1:6" x14ac:dyDescent="0.3">
      <c r="A42" s="19" t="s">
        <v>448</v>
      </c>
      <c r="B42" s="19" t="s">
        <v>519</v>
      </c>
      <c r="C42" s="19" t="s">
        <v>534</v>
      </c>
      <c r="D42" s="19" t="s">
        <v>8</v>
      </c>
      <c r="E42" s="19" t="s">
        <v>535</v>
      </c>
      <c r="F42" s="19" t="s">
        <v>536</v>
      </c>
    </row>
    <row r="43" spans="1:6" x14ac:dyDescent="0.3">
      <c r="A43" s="19" t="s">
        <v>448</v>
      </c>
      <c r="B43" s="19" t="s">
        <v>519</v>
      </c>
      <c r="C43" s="19" t="s">
        <v>537</v>
      </c>
      <c r="D43" s="19" t="s">
        <v>8</v>
      </c>
      <c r="E43" s="19" t="s">
        <v>538</v>
      </c>
      <c r="F43" s="19"/>
    </row>
    <row r="44" spans="1:6" x14ac:dyDescent="0.3">
      <c r="A44" s="19" t="s">
        <v>448</v>
      </c>
      <c r="B44" s="19" t="s">
        <v>519</v>
      </c>
      <c r="C44" s="19" t="s">
        <v>539</v>
      </c>
      <c r="D44" s="19" t="s">
        <v>8</v>
      </c>
      <c r="E44" s="19" t="s">
        <v>540</v>
      </c>
      <c r="F44" s="19" t="s">
        <v>541</v>
      </c>
    </row>
    <row r="45" spans="1:6" ht="25.5" x14ac:dyDescent="0.3">
      <c r="A45" s="19" t="s">
        <v>448</v>
      </c>
      <c r="B45" s="19" t="s">
        <v>542</v>
      </c>
      <c r="C45" s="19" t="s">
        <v>543</v>
      </c>
      <c r="D45" s="19" t="s">
        <v>8</v>
      </c>
      <c r="E45" s="19" t="s">
        <v>133</v>
      </c>
      <c r="F45" s="19" t="s">
        <v>544</v>
      </c>
    </row>
    <row r="46" spans="1:6" x14ac:dyDescent="0.3">
      <c r="A46" s="19" t="s">
        <v>448</v>
      </c>
      <c r="B46" s="19" t="s">
        <v>542</v>
      </c>
      <c r="C46" s="19" t="s">
        <v>545</v>
      </c>
      <c r="D46" s="19" t="s">
        <v>9</v>
      </c>
      <c r="E46" s="19" t="s">
        <v>546</v>
      </c>
      <c r="F46" s="19" t="s">
        <v>547</v>
      </c>
    </row>
    <row r="47" spans="1:6" ht="25.5" x14ac:dyDescent="0.3">
      <c r="A47" s="19" t="s">
        <v>448</v>
      </c>
      <c r="B47" s="19" t="s">
        <v>548</v>
      </c>
      <c r="C47" s="19" t="s">
        <v>549</v>
      </c>
      <c r="D47" s="19" t="s">
        <v>8</v>
      </c>
      <c r="E47" s="19" t="s">
        <v>550</v>
      </c>
      <c r="F47" s="19" t="s">
        <v>551</v>
      </c>
    </row>
    <row r="48" spans="1:6" x14ac:dyDescent="0.3">
      <c r="A48" s="19" t="s">
        <v>448</v>
      </c>
      <c r="B48" s="19" t="s">
        <v>548</v>
      </c>
      <c r="C48" s="19" t="s">
        <v>552</v>
      </c>
      <c r="D48" s="19" t="s">
        <v>8</v>
      </c>
      <c r="E48" s="19" t="s">
        <v>360</v>
      </c>
      <c r="F48" s="19" t="s">
        <v>553</v>
      </c>
    </row>
    <row r="49" spans="1:6" x14ac:dyDescent="0.3">
      <c r="A49" s="19" t="s">
        <v>448</v>
      </c>
      <c r="B49" s="19" t="s">
        <v>554</v>
      </c>
      <c r="C49" s="19" t="s">
        <v>555</v>
      </c>
      <c r="D49" s="19" t="s">
        <v>8</v>
      </c>
      <c r="E49" s="19" t="s">
        <v>556</v>
      </c>
      <c r="F49" s="19" t="s">
        <v>557</v>
      </c>
    </row>
    <row r="50" spans="1:6" x14ac:dyDescent="0.3">
      <c r="A50" s="19" t="s">
        <v>448</v>
      </c>
      <c r="B50" s="19" t="s">
        <v>554</v>
      </c>
      <c r="C50" s="19" t="s">
        <v>558</v>
      </c>
      <c r="D50" s="19" t="s">
        <v>8</v>
      </c>
      <c r="E50" s="19" t="s">
        <v>373</v>
      </c>
      <c r="F50" s="19" t="s">
        <v>559</v>
      </c>
    </row>
    <row r="51" spans="1:6" x14ac:dyDescent="0.3">
      <c r="A51" s="19" t="s">
        <v>448</v>
      </c>
      <c r="B51" s="19" t="s">
        <v>560</v>
      </c>
      <c r="C51" s="19" t="s">
        <v>561</v>
      </c>
      <c r="D51" s="19" t="s">
        <v>8</v>
      </c>
      <c r="E51" s="19" t="s">
        <v>562</v>
      </c>
      <c r="F51" s="19"/>
    </row>
    <row r="52" spans="1:6" x14ac:dyDescent="0.3">
      <c r="A52" s="19" t="s">
        <v>448</v>
      </c>
      <c r="B52" s="19" t="s">
        <v>560</v>
      </c>
      <c r="C52" s="19" t="s">
        <v>563</v>
      </c>
      <c r="D52" s="19" t="s">
        <v>8</v>
      </c>
      <c r="E52" s="19" t="s">
        <v>166</v>
      </c>
      <c r="F52" s="19" t="s">
        <v>564</v>
      </c>
    </row>
    <row r="53" spans="1:6" x14ac:dyDescent="0.3">
      <c r="A53" s="19" t="s">
        <v>448</v>
      </c>
      <c r="B53" s="19" t="s">
        <v>560</v>
      </c>
      <c r="C53" s="19" t="s">
        <v>565</v>
      </c>
      <c r="D53" s="19" t="s">
        <v>12</v>
      </c>
      <c r="E53" s="19"/>
      <c r="F53" s="19" t="s">
        <v>566</v>
      </c>
    </row>
    <row r="54" spans="1:6" x14ac:dyDescent="0.3">
      <c r="A54" s="19" t="s">
        <v>448</v>
      </c>
      <c r="B54" s="19" t="s">
        <v>567</v>
      </c>
      <c r="C54" s="19" t="s">
        <v>568</v>
      </c>
      <c r="D54" s="19" t="s">
        <v>12</v>
      </c>
      <c r="E54" s="19"/>
      <c r="F54" s="19" t="s">
        <v>566</v>
      </c>
    </row>
    <row r="55" spans="1:6" x14ac:dyDescent="0.3">
      <c r="A55" s="19" t="s">
        <v>448</v>
      </c>
      <c r="B55" s="19" t="s">
        <v>569</v>
      </c>
      <c r="C55" s="19" t="s">
        <v>570</v>
      </c>
      <c r="D55" s="19" t="s">
        <v>8</v>
      </c>
      <c r="E55" s="19" t="s">
        <v>571</v>
      </c>
      <c r="F55" s="19" t="s">
        <v>572</v>
      </c>
    </row>
    <row r="56" spans="1:6" x14ac:dyDescent="0.3">
      <c r="A56" s="19" t="s">
        <v>171</v>
      </c>
      <c r="B56" s="19" t="s">
        <v>449</v>
      </c>
      <c r="C56" s="19" t="s">
        <v>573</v>
      </c>
      <c r="D56" s="19" t="s">
        <v>8</v>
      </c>
      <c r="E56" s="19" t="s">
        <v>574</v>
      </c>
      <c r="F56" s="19" t="s">
        <v>575</v>
      </c>
    </row>
    <row r="57" spans="1:6" x14ac:dyDescent="0.3">
      <c r="A57" s="19" t="s">
        <v>171</v>
      </c>
      <c r="B57" s="19" t="s">
        <v>449</v>
      </c>
      <c r="C57" s="19" t="s">
        <v>576</v>
      </c>
      <c r="D57" s="19" t="s">
        <v>8</v>
      </c>
      <c r="E57" s="19" t="s">
        <v>574</v>
      </c>
      <c r="F57" s="19" t="s">
        <v>577</v>
      </c>
    </row>
    <row r="58" spans="1:6" ht="25.5" x14ac:dyDescent="0.3">
      <c r="A58" s="19" t="s">
        <v>171</v>
      </c>
      <c r="B58" s="19" t="s">
        <v>449</v>
      </c>
      <c r="C58" s="19" t="s">
        <v>578</v>
      </c>
      <c r="D58" s="19" t="s">
        <v>8</v>
      </c>
      <c r="E58" s="19" t="s">
        <v>175</v>
      </c>
      <c r="F58" s="19" t="s">
        <v>579</v>
      </c>
    </row>
    <row r="59" spans="1:6" x14ac:dyDescent="0.3">
      <c r="A59" s="19" t="s">
        <v>171</v>
      </c>
      <c r="B59" s="19" t="s">
        <v>449</v>
      </c>
      <c r="C59" s="19" t="s">
        <v>552</v>
      </c>
      <c r="D59" s="19" t="s">
        <v>8</v>
      </c>
      <c r="E59" s="19" t="s">
        <v>580</v>
      </c>
      <c r="F59" s="19"/>
    </row>
    <row r="60" spans="1:6" ht="25.5" x14ac:dyDescent="0.3">
      <c r="A60" s="19" t="s">
        <v>581</v>
      </c>
      <c r="B60" s="19" t="s">
        <v>70</v>
      </c>
      <c r="C60" s="19" t="s">
        <v>582</v>
      </c>
      <c r="D60" s="19" t="s">
        <v>11</v>
      </c>
      <c r="E60" s="19"/>
      <c r="F60" s="19" t="s">
        <v>227</v>
      </c>
    </row>
    <row r="61" spans="1:6" ht="25.5" x14ac:dyDescent="0.3">
      <c r="A61" s="19" t="s">
        <v>177</v>
      </c>
      <c r="B61" s="19" t="s">
        <v>449</v>
      </c>
      <c r="C61" s="19" t="s">
        <v>583</v>
      </c>
      <c r="D61" s="19" t="s">
        <v>8</v>
      </c>
      <c r="E61" s="19" t="s">
        <v>584</v>
      </c>
      <c r="F61" s="19" t="s">
        <v>585</v>
      </c>
    </row>
    <row r="62" spans="1:6" x14ac:dyDescent="0.3">
      <c r="A62" s="19" t="s">
        <v>177</v>
      </c>
      <c r="B62" s="19" t="s">
        <v>70</v>
      </c>
      <c r="C62" s="19" t="s">
        <v>586</v>
      </c>
      <c r="D62" s="19" t="s">
        <v>8</v>
      </c>
      <c r="E62" s="19" t="s">
        <v>587</v>
      </c>
      <c r="F62" s="19" t="s">
        <v>588</v>
      </c>
    </row>
    <row r="63" spans="1:6" ht="25.5" x14ac:dyDescent="0.3">
      <c r="A63" s="19" t="s">
        <v>177</v>
      </c>
      <c r="B63" s="19" t="s">
        <v>449</v>
      </c>
      <c r="C63" s="19" t="s">
        <v>589</v>
      </c>
      <c r="D63" s="19" t="s">
        <v>8</v>
      </c>
      <c r="E63" s="19" t="s">
        <v>587</v>
      </c>
      <c r="F63" s="19" t="s">
        <v>590</v>
      </c>
    </row>
    <row r="64" spans="1:6" x14ac:dyDescent="0.3">
      <c r="A64" s="19" t="s">
        <v>177</v>
      </c>
      <c r="B64" s="19" t="s">
        <v>70</v>
      </c>
      <c r="C64" s="19" t="s">
        <v>591</v>
      </c>
      <c r="D64" s="19" t="s">
        <v>8</v>
      </c>
      <c r="E64" s="19" t="s">
        <v>587</v>
      </c>
      <c r="F64" s="19" t="s">
        <v>592</v>
      </c>
    </row>
    <row r="65" spans="1:6" ht="25.5" x14ac:dyDescent="0.3">
      <c r="A65" s="19" t="s">
        <v>177</v>
      </c>
      <c r="B65" s="19" t="s">
        <v>593</v>
      </c>
      <c r="C65" s="19" t="s">
        <v>594</v>
      </c>
      <c r="D65" s="19" t="s">
        <v>8</v>
      </c>
      <c r="E65" s="19" t="s">
        <v>587</v>
      </c>
      <c r="F65" s="19" t="s">
        <v>595</v>
      </c>
    </row>
    <row r="66" spans="1:6" ht="25.5" x14ac:dyDescent="0.3">
      <c r="A66" s="19" t="s">
        <v>177</v>
      </c>
      <c r="B66" s="19" t="s">
        <v>593</v>
      </c>
      <c r="C66" s="19" t="s">
        <v>596</v>
      </c>
      <c r="D66" s="19" t="s">
        <v>8</v>
      </c>
      <c r="E66" s="19" t="s">
        <v>587</v>
      </c>
      <c r="F66" s="19" t="s">
        <v>597</v>
      </c>
    </row>
    <row r="67" spans="1:6" ht="25.5" x14ac:dyDescent="0.3">
      <c r="A67" s="19" t="s">
        <v>177</v>
      </c>
      <c r="B67" s="19" t="s">
        <v>70</v>
      </c>
      <c r="C67" s="19" t="s">
        <v>598</v>
      </c>
      <c r="D67" s="19" t="s">
        <v>8</v>
      </c>
      <c r="E67" s="19" t="s">
        <v>212</v>
      </c>
      <c r="F67" s="19" t="s">
        <v>599</v>
      </c>
    </row>
    <row r="68" spans="1:6" ht="25.5" x14ac:dyDescent="0.3">
      <c r="A68" s="19" t="s">
        <v>177</v>
      </c>
      <c r="B68" s="19" t="s">
        <v>70</v>
      </c>
      <c r="C68" s="19" t="s">
        <v>600</v>
      </c>
      <c r="D68" s="19" t="s">
        <v>10</v>
      </c>
      <c r="E68" s="19" t="s">
        <v>601</v>
      </c>
      <c r="F68" s="19" t="s">
        <v>602</v>
      </c>
    </row>
    <row r="69" spans="1:6" x14ac:dyDescent="0.3">
      <c r="A69" s="19" t="s">
        <v>177</v>
      </c>
      <c r="B69" s="19" t="s">
        <v>70</v>
      </c>
      <c r="C69" s="19" t="s">
        <v>603</v>
      </c>
      <c r="D69" s="19" t="s">
        <v>10</v>
      </c>
      <c r="E69" s="19" t="s">
        <v>587</v>
      </c>
      <c r="F69" s="19" t="s">
        <v>604</v>
      </c>
    </row>
  </sheetData>
  <autoFilter ref="A4:F69" xr:uid="{00000000-0009-0000-0000-000003000000}"/>
  <phoneticPr fontId="9" type="noConversion"/>
  <conditionalFormatting sqref="D5:D69">
    <cfRule type="expression" dxfId="14" priority="1">
      <formula>$D5="검증완료"</formula>
    </cfRule>
    <cfRule type="expression" dxfId="13" priority="2">
      <formula>$D5="부분검증"</formula>
    </cfRule>
    <cfRule type="expression" dxfId="12" priority="3">
      <formula>$D5="미검증"</formula>
    </cfRule>
    <cfRule type="expression" dxfId="11" priority="4">
      <formula>$D5="미구현"</formula>
    </cfRule>
    <cfRule type="expression" dxfId="10" priority="5">
      <formula>$D5="미지원"</formula>
    </cfRule>
    <cfRule type="expression" dxfId="9" priority="6">
      <formula>$D5="기타"</formula>
    </cfRule>
  </conditionalFormatting>
  <dataValidations count="1">
    <dataValidation type="list" allowBlank="1" sqref="D5:D69" xr:uid="{00000000-0002-0000-0300-000000000000}">
      <formula1>"검증완료,부분검증,미검증,미구현,미지원,기타"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7" customWidth="1"/>
    <col min="2" max="2" width="18" customWidth="1"/>
    <col min="3" max="3" width="38" customWidth="1"/>
    <col min="4" max="4" width="44" customWidth="1"/>
    <col min="5" max="5" width="50" customWidth="1"/>
    <col min="6" max="6" width="13" customWidth="1"/>
  </cols>
  <sheetData>
    <row r="1" spans="1:6" ht="18.75" x14ac:dyDescent="0.3">
      <c r="A1" s="1" t="s">
        <v>605</v>
      </c>
    </row>
    <row r="2" spans="1:6" x14ac:dyDescent="0.3">
      <c r="A2" s="2" t="s">
        <v>606</v>
      </c>
    </row>
    <row r="4" spans="1:6" x14ac:dyDescent="0.3">
      <c r="A4" s="18" t="s">
        <v>607</v>
      </c>
      <c r="B4" s="18" t="s">
        <v>608</v>
      </c>
      <c r="C4" s="18" t="s">
        <v>609</v>
      </c>
      <c r="D4" s="18" t="s">
        <v>610</v>
      </c>
      <c r="E4" s="18" t="s">
        <v>611</v>
      </c>
      <c r="F4" s="18" t="s">
        <v>17</v>
      </c>
    </row>
    <row r="5" spans="1:6" ht="25.5" x14ac:dyDescent="0.3">
      <c r="A5" s="19" t="s">
        <v>612</v>
      </c>
      <c r="B5" s="19" t="s">
        <v>613</v>
      </c>
      <c r="C5" s="19" t="s">
        <v>614</v>
      </c>
      <c r="D5" s="19" t="s">
        <v>615</v>
      </c>
      <c r="E5" s="19" t="s">
        <v>616</v>
      </c>
      <c r="F5" s="19" t="s">
        <v>19</v>
      </c>
    </row>
    <row r="6" spans="1:6" x14ac:dyDescent="0.3">
      <c r="A6" s="19" t="s">
        <v>617</v>
      </c>
      <c r="B6" s="19" t="s">
        <v>618</v>
      </c>
      <c r="C6" s="19" t="s">
        <v>619</v>
      </c>
      <c r="D6" s="19" t="s">
        <v>620</v>
      </c>
      <c r="E6" s="19" t="s">
        <v>620</v>
      </c>
      <c r="F6" s="19" t="s">
        <v>19</v>
      </c>
    </row>
    <row r="7" spans="1:6" x14ac:dyDescent="0.3">
      <c r="A7" s="19" t="s">
        <v>621</v>
      </c>
      <c r="B7" s="19" t="s">
        <v>622</v>
      </c>
      <c r="C7" s="19" t="s">
        <v>623</v>
      </c>
      <c r="D7" s="19" t="s">
        <v>624</v>
      </c>
      <c r="E7" s="19" t="s">
        <v>625</v>
      </c>
      <c r="F7" s="19" t="s">
        <v>19</v>
      </c>
    </row>
    <row r="8" spans="1:6" x14ac:dyDescent="0.3">
      <c r="A8" s="19" t="s">
        <v>626</v>
      </c>
      <c r="B8" s="19" t="s">
        <v>627</v>
      </c>
      <c r="C8" s="19" t="s">
        <v>628</v>
      </c>
      <c r="D8" s="19" t="s">
        <v>629</v>
      </c>
      <c r="E8" s="19" t="s">
        <v>630</v>
      </c>
      <c r="F8" s="19" t="s">
        <v>19</v>
      </c>
    </row>
    <row r="9" spans="1:6" x14ac:dyDescent="0.3">
      <c r="A9" s="19" t="s">
        <v>631</v>
      </c>
      <c r="B9" s="19" t="s">
        <v>632</v>
      </c>
      <c r="C9" s="19" t="s">
        <v>633</v>
      </c>
      <c r="D9" s="19" t="s">
        <v>634</v>
      </c>
      <c r="E9" s="19" t="s">
        <v>635</v>
      </c>
      <c r="F9" s="19" t="s">
        <v>19</v>
      </c>
    </row>
    <row r="10" spans="1:6" x14ac:dyDescent="0.3">
      <c r="A10" s="19" t="s">
        <v>636</v>
      </c>
      <c r="B10" s="19" t="s">
        <v>637</v>
      </c>
      <c r="C10" s="19" t="s">
        <v>638</v>
      </c>
      <c r="D10" s="19" t="s">
        <v>639</v>
      </c>
      <c r="E10" s="19" t="s">
        <v>640</v>
      </c>
      <c r="F10" s="19" t="s">
        <v>19</v>
      </c>
    </row>
    <row r="11" spans="1:6" x14ac:dyDescent="0.3">
      <c r="A11" s="19" t="s">
        <v>641</v>
      </c>
      <c r="B11" s="19" t="s">
        <v>642</v>
      </c>
      <c r="C11" s="19" t="s">
        <v>643</v>
      </c>
      <c r="D11" s="19" t="s">
        <v>644</v>
      </c>
      <c r="E11" s="19" t="s">
        <v>645</v>
      </c>
      <c r="F11" s="19" t="s">
        <v>19</v>
      </c>
    </row>
    <row r="12" spans="1:6" x14ac:dyDescent="0.3">
      <c r="A12" s="19" t="s">
        <v>646</v>
      </c>
      <c r="B12" s="19" t="s">
        <v>647</v>
      </c>
      <c r="C12" s="19" t="s">
        <v>648</v>
      </c>
      <c r="D12" s="19" t="s">
        <v>649</v>
      </c>
      <c r="E12" s="19" t="s">
        <v>650</v>
      </c>
      <c r="F12" s="19" t="s">
        <v>19</v>
      </c>
    </row>
    <row r="13" spans="1:6" x14ac:dyDescent="0.3">
      <c r="A13" s="19" t="s">
        <v>651</v>
      </c>
      <c r="B13" s="19" t="s">
        <v>652</v>
      </c>
      <c r="C13" s="19" t="s">
        <v>653</v>
      </c>
      <c r="D13" s="19" t="s">
        <v>654</v>
      </c>
      <c r="E13" s="19" t="s">
        <v>655</v>
      </c>
      <c r="F13" s="19" t="s">
        <v>19</v>
      </c>
    </row>
    <row r="14" spans="1:6" x14ac:dyDescent="0.3">
      <c r="A14" s="19" t="s">
        <v>656</v>
      </c>
      <c r="B14" s="19" t="s">
        <v>657</v>
      </c>
      <c r="C14" s="19" t="s">
        <v>658</v>
      </c>
      <c r="D14" s="19" t="s">
        <v>659</v>
      </c>
      <c r="E14" s="19" t="s">
        <v>660</v>
      </c>
      <c r="F14" s="19" t="s">
        <v>19</v>
      </c>
    </row>
    <row r="15" spans="1:6" ht="25.5" x14ac:dyDescent="0.3">
      <c r="A15" s="19" t="s">
        <v>661</v>
      </c>
      <c r="B15" s="19" t="s">
        <v>662</v>
      </c>
      <c r="C15" s="19" t="s">
        <v>663</v>
      </c>
      <c r="D15" s="19" t="s">
        <v>664</v>
      </c>
      <c r="E15" s="19" t="s">
        <v>665</v>
      </c>
      <c r="F15" s="19" t="s">
        <v>19</v>
      </c>
    </row>
    <row r="16" spans="1:6" x14ac:dyDescent="0.3">
      <c r="A16" s="19" t="s">
        <v>666</v>
      </c>
      <c r="B16" s="19" t="s">
        <v>667</v>
      </c>
      <c r="C16" s="19" t="s">
        <v>668</v>
      </c>
      <c r="D16" s="19" t="s">
        <v>669</v>
      </c>
      <c r="E16" s="19" t="s">
        <v>670</v>
      </c>
      <c r="F16" s="19" t="s">
        <v>19</v>
      </c>
    </row>
    <row r="17" spans="1:6" ht="25.5" x14ac:dyDescent="0.3">
      <c r="A17" s="19" t="s">
        <v>671</v>
      </c>
      <c r="B17" s="19" t="s">
        <v>672</v>
      </c>
      <c r="C17" s="19" t="s">
        <v>673</v>
      </c>
      <c r="D17" s="19" t="s">
        <v>674</v>
      </c>
      <c r="E17" s="19" t="s">
        <v>675</v>
      </c>
      <c r="F17" s="19" t="s">
        <v>19</v>
      </c>
    </row>
    <row r="18" spans="1:6" x14ac:dyDescent="0.3">
      <c r="A18" s="19" t="s">
        <v>676</v>
      </c>
      <c r="B18" s="19" t="s">
        <v>677</v>
      </c>
      <c r="C18" s="19" t="s">
        <v>678</v>
      </c>
      <c r="D18" s="19" t="s">
        <v>679</v>
      </c>
      <c r="E18" s="19" t="s">
        <v>680</v>
      </c>
      <c r="F18" s="19" t="s">
        <v>19</v>
      </c>
    </row>
    <row r="19" spans="1:6" x14ac:dyDescent="0.3">
      <c r="A19" s="19" t="s">
        <v>681</v>
      </c>
      <c r="B19" s="19" t="s">
        <v>682</v>
      </c>
      <c r="C19" s="19" t="s">
        <v>683</v>
      </c>
      <c r="D19" s="19" t="s">
        <v>684</v>
      </c>
      <c r="E19" s="19" t="s">
        <v>685</v>
      </c>
      <c r="F19" s="19" t="s">
        <v>19</v>
      </c>
    </row>
    <row r="20" spans="1:6" x14ac:dyDescent="0.3">
      <c r="A20" s="19" t="s">
        <v>686</v>
      </c>
      <c r="B20" s="19" t="s">
        <v>687</v>
      </c>
      <c r="C20" s="19" t="s">
        <v>688</v>
      </c>
      <c r="D20" s="19" t="s">
        <v>689</v>
      </c>
      <c r="E20" s="19" t="s">
        <v>690</v>
      </c>
      <c r="F20" s="19" t="s">
        <v>19</v>
      </c>
    </row>
    <row r="21" spans="1:6" ht="25.5" x14ac:dyDescent="0.3">
      <c r="A21" s="19" t="s">
        <v>691</v>
      </c>
      <c r="B21" s="19" t="s">
        <v>692</v>
      </c>
      <c r="C21" s="19" t="s">
        <v>693</v>
      </c>
      <c r="D21" s="19" t="s">
        <v>694</v>
      </c>
      <c r="E21" s="19" t="s">
        <v>695</v>
      </c>
      <c r="F21" s="19" t="s">
        <v>20</v>
      </c>
    </row>
    <row r="22" spans="1:6" ht="25.5" x14ac:dyDescent="0.3">
      <c r="A22" s="19" t="s">
        <v>696</v>
      </c>
      <c r="B22" s="19" t="s">
        <v>697</v>
      </c>
      <c r="C22" s="19" t="s">
        <v>698</v>
      </c>
      <c r="D22" s="19" t="s">
        <v>699</v>
      </c>
      <c r="E22" s="19" t="s">
        <v>685</v>
      </c>
      <c r="F22" s="19" t="s">
        <v>19</v>
      </c>
    </row>
    <row r="23" spans="1:6" x14ac:dyDescent="0.3">
      <c r="A23" s="19" t="s">
        <v>700</v>
      </c>
      <c r="B23" s="19" t="s">
        <v>701</v>
      </c>
      <c r="C23" s="19" t="s">
        <v>702</v>
      </c>
      <c r="D23" s="19" t="s">
        <v>70</v>
      </c>
      <c r="E23" s="19" t="s">
        <v>703</v>
      </c>
      <c r="F23" s="19" t="s">
        <v>21</v>
      </c>
    </row>
    <row r="24" spans="1:6" x14ac:dyDescent="0.3">
      <c r="A24" s="19" t="s">
        <v>704</v>
      </c>
      <c r="B24" s="19" t="s">
        <v>705</v>
      </c>
      <c r="C24" s="19" t="s">
        <v>706</v>
      </c>
      <c r="D24" s="19" t="s">
        <v>70</v>
      </c>
      <c r="E24" s="19" t="s">
        <v>707</v>
      </c>
      <c r="F24" s="19" t="s">
        <v>21</v>
      </c>
    </row>
    <row r="25" spans="1:6" x14ac:dyDescent="0.3">
      <c r="A25" s="19" t="s">
        <v>708</v>
      </c>
      <c r="B25" s="19" t="s">
        <v>709</v>
      </c>
      <c r="C25" s="19" t="s">
        <v>710</v>
      </c>
      <c r="D25" s="19" t="s">
        <v>70</v>
      </c>
      <c r="E25" s="19" t="s">
        <v>21</v>
      </c>
      <c r="F25" s="19" t="s">
        <v>21</v>
      </c>
    </row>
  </sheetData>
  <autoFilter ref="A4:F25" xr:uid="{00000000-0009-0000-0000-000004000000}"/>
  <phoneticPr fontId="9" type="noConversion"/>
  <conditionalFormatting sqref="F5:F25">
    <cfRule type="expression" dxfId="8" priority="1">
      <formula>$F5="합격"</formula>
    </cfRule>
    <cfRule type="expression" dxfId="7" priority="2">
      <formula>$F5="합격(관찰사항)"</formula>
    </cfRule>
    <cfRule type="expression" dxfId="6" priority="3">
      <formula>$F5="미시험"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zoomScale="9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12" customWidth="1"/>
    <col min="2" max="2" width="40" customWidth="1"/>
    <col min="3" max="3" width="11" customWidth="1"/>
    <col min="4" max="4" width="90" customWidth="1"/>
  </cols>
  <sheetData>
    <row r="1" spans="1:4" ht="18.75" x14ac:dyDescent="0.3">
      <c r="A1" s="1" t="s">
        <v>711</v>
      </c>
    </row>
    <row r="3" spans="1:4" x14ac:dyDescent="0.3">
      <c r="A3" s="18" t="s">
        <v>712</v>
      </c>
      <c r="B3" s="18" t="s">
        <v>713</v>
      </c>
      <c r="C3" s="18" t="s">
        <v>3</v>
      </c>
      <c r="D3" s="18" t="s">
        <v>714</v>
      </c>
    </row>
    <row r="4" spans="1:4" x14ac:dyDescent="0.3">
      <c r="A4" s="19" t="s">
        <v>715</v>
      </c>
      <c r="B4" s="19" t="s">
        <v>69</v>
      </c>
      <c r="C4" s="19" t="s">
        <v>11</v>
      </c>
      <c r="D4" s="19" t="s">
        <v>716</v>
      </c>
    </row>
    <row r="5" spans="1:4" x14ac:dyDescent="0.3">
      <c r="A5" s="19" t="s">
        <v>715</v>
      </c>
      <c r="B5" s="19" t="s">
        <v>260</v>
      </c>
      <c r="C5" s="19" t="s">
        <v>10</v>
      </c>
      <c r="D5" s="19" t="s">
        <v>717</v>
      </c>
    </row>
    <row r="6" spans="1:4" x14ac:dyDescent="0.3">
      <c r="A6" s="19" t="s">
        <v>715</v>
      </c>
      <c r="B6" s="19" t="s">
        <v>437</v>
      </c>
      <c r="C6" s="19" t="s">
        <v>10</v>
      </c>
      <c r="D6" s="19" t="s">
        <v>718</v>
      </c>
    </row>
    <row r="7" spans="1:4" x14ac:dyDescent="0.3">
      <c r="A7" s="19" t="s">
        <v>715</v>
      </c>
      <c r="B7" s="19" t="s">
        <v>395</v>
      </c>
      <c r="C7" s="19" t="s">
        <v>13</v>
      </c>
      <c r="D7" s="19" t="s">
        <v>719</v>
      </c>
    </row>
    <row r="8" spans="1:4" x14ac:dyDescent="0.3">
      <c r="A8" s="19" t="s">
        <v>720</v>
      </c>
      <c r="B8" s="19" t="s">
        <v>600</v>
      </c>
      <c r="C8" s="19" t="s">
        <v>10</v>
      </c>
      <c r="D8" s="19" t="s">
        <v>721</v>
      </c>
    </row>
    <row r="9" spans="1:4" x14ac:dyDescent="0.3">
      <c r="A9" s="19" t="s">
        <v>720</v>
      </c>
      <c r="B9" s="19" t="s">
        <v>705</v>
      </c>
      <c r="C9" s="19" t="s">
        <v>10</v>
      </c>
      <c r="D9" s="19" t="s">
        <v>722</v>
      </c>
    </row>
    <row r="10" spans="1:4" x14ac:dyDescent="0.3">
      <c r="A10" s="19" t="s">
        <v>720</v>
      </c>
      <c r="B10" s="19" t="s">
        <v>723</v>
      </c>
      <c r="C10" s="19" t="s">
        <v>10</v>
      </c>
      <c r="D10" s="19" t="s">
        <v>724</v>
      </c>
    </row>
    <row r="11" spans="1:4" x14ac:dyDescent="0.3">
      <c r="A11" s="19" t="s">
        <v>720</v>
      </c>
      <c r="B11" s="19" t="s">
        <v>725</v>
      </c>
      <c r="C11" s="19" t="s">
        <v>9</v>
      </c>
      <c r="D11" s="19" t="s">
        <v>726</v>
      </c>
    </row>
    <row r="12" spans="1:4" x14ac:dyDescent="0.3">
      <c r="A12" s="19" t="s">
        <v>720</v>
      </c>
      <c r="B12" s="19" t="s">
        <v>727</v>
      </c>
      <c r="C12" s="19" t="s">
        <v>9</v>
      </c>
      <c r="D12" s="19" t="s">
        <v>728</v>
      </c>
    </row>
    <row r="13" spans="1:4" ht="25.5" x14ac:dyDescent="0.3">
      <c r="A13" s="19" t="s">
        <v>720</v>
      </c>
      <c r="B13" s="19" t="s">
        <v>729</v>
      </c>
      <c r="C13" s="19" t="s">
        <v>12</v>
      </c>
      <c r="D13" s="19" t="s">
        <v>730</v>
      </c>
    </row>
    <row r="14" spans="1:4" x14ac:dyDescent="0.3">
      <c r="A14" s="19" t="s">
        <v>720</v>
      </c>
      <c r="B14" s="19" t="s">
        <v>731</v>
      </c>
      <c r="C14" s="19" t="s">
        <v>11</v>
      </c>
      <c r="D14" s="19" t="s">
        <v>227</v>
      </c>
    </row>
    <row r="15" spans="1:4" x14ac:dyDescent="0.3">
      <c r="A15" s="19" t="s">
        <v>732</v>
      </c>
      <c r="B15" s="19" t="s">
        <v>733</v>
      </c>
      <c r="C15" s="19" t="s">
        <v>13</v>
      </c>
      <c r="D15" s="19" t="s">
        <v>734</v>
      </c>
    </row>
    <row r="16" spans="1:4" x14ac:dyDescent="0.3">
      <c r="A16" s="19" t="s">
        <v>732</v>
      </c>
      <c r="B16" s="19" t="s">
        <v>735</v>
      </c>
      <c r="C16" s="19" t="s">
        <v>13</v>
      </c>
      <c r="D16" s="19" t="s">
        <v>736</v>
      </c>
    </row>
    <row r="17" spans="1:4" x14ac:dyDescent="0.3">
      <c r="A17" s="19" t="s">
        <v>732</v>
      </c>
      <c r="B17" s="19" t="s">
        <v>737</v>
      </c>
      <c r="C17" s="19" t="s">
        <v>13</v>
      </c>
      <c r="D17" s="19" t="s">
        <v>738</v>
      </c>
    </row>
    <row r="18" spans="1:4" x14ac:dyDescent="0.3">
      <c r="A18" s="19" t="s">
        <v>739</v>
      </c>
      <c r="B18" s="19" t="s">
        <v>740</v>
      </c>
      <c r="C18" s="19" t="s">
        <v>13</v>
      </c>
      <c r="D18" s="19" t="s">
        <v>741</v>
      </c>
    </row>
  </sheetData>
  <autoFilter ref="A3:D18" xr:uid="{00000000-0009-0000-0000-000005000000}"/>
  <phoneticPr fontId="9" type="noConversion"/>
  <conditionalFormatting sqref="C4:C18">
    <cfRule type="expression" dxfId="5" priority="1">
      <formula>$C4="검증완료"</formula>
    </cfRule>
    <cfRule type="expression" dxfId="4" priority="2">
      <formula>$C4="부분검증"</formula>
    </cfRule>
    <cfRule type="expression" dxfId="3" priority="3">
      <formula>$C4="미검증"</formula>
    </cfRule>
    <cfRule type="expression" dxfId="2" priority="4">
      <formula>$C4="미구현"</formula>
    </cfRule>
    <cfRule type="expression" dxfId="1" priority="5">
      <formula>$C4="미지원"</formula>
    </cfRule>
    <cfRule type="expression" dxfId="0" priority="6">
      <formula>$C4="기타"</formula>
    </cfRule>
  </conditionalFormatting>
  <dataValidations count="1">
    <dataValidation type="list" allowBlank="1" sqref="C4:C18" xr:uid="{00000000-0002-0000-0500-000000000000}">
      <formula1>"검증완료,부분검증,미검증,미구현,미지원,기타"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요약</vt:lpstr>
      <vt:lpstr>기능 비교</vt:lpstr>
      <vt:lpstr>M2M 명령 결과</vt:lpstr>
      <vt:lpstr>OTH 명령 결과</vt:lpstr>
      <vt:lpstr>OTH Platform 시험</vt:lpstr>
      <vt:lpstr>미검증·추후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상민 강</cp:lastModifiedBy>
  <dcterms:created xsi:type="dcterms:W3CDTF">2026-10-06T14:06:42Z</dcterms:created>
  <dcterms:modified xsi:type="dcterms:W3CDTF">2026-10-06T14:06:57Z</dcterms:modified>
</cp:coreProperties>
</file>